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4" activeTab="2"/>
  </bookViews>
  <sheets>
    <sheet name="Sheet1" sheetId="8" r:id="rId1"/>
    <sheet name="Ques 2" sheetId="1" r:id="rId2"/>
    <sheet name="Ques 3" sheetId="2" r:id="rId3"/>
    <sheet name="Ques 4" sheetId="3" r:id="rId4"/>
    <sheet name="Ques 5" sheetId="4" r:id="rId5"/>
    <sheet name="Ques 6" sheetId="5" r:id="rId6"/>
    <sheet name="Ques 7" sheetId="6" r:id="rId7"/>
    <sheet name="Ques 8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<sst xmlns="http://schemas.openxmlformats.org/spreadsheetml/2006/main" count="595" uniqueCount="121">
  <si>
    <r>
      <t>QUES 1: Explain the difference between Relative ,Absolute and Mixed Cell Referencing</t>
    </r>
    <r>
      <rPr>
        <b/>
        <sz val="16"/>
        <color rgb="FFFFFF00"/>
        <rFont val="Calibri"/>
        <charset val="134"/>
      </rPr>
      <t>.</t>
    </r>
    <r>
      <rPr>
        <sz val="16"/>
        <color rgb="FF000000"/>
        <rFont val="Calibri"/>
        <charset val="134"/>
      </rPr>
      <t xml:space="preserve">
Answer: Relative Referencing - change based on the formula’s new position , adjusting the rows and column. Denoted as A1
Absolute Referencing -fixed with dollar signs and do not change when copied . Denoted as $A$1 or F4
Mixed Cell Referencing  - it locks either the column or the row ,while the other parts adjust.
Denoted as $A1 or A$1</t>
    </r>
  </si>
  <si>
    <r>
      <t>QUES 2: Write a formula to calculate the total sales of Car and Bicyle only</t>
    </r>
    <r>
      <rPr>
        <sz val="16"/>
        <color rgb="FF000000"/>
        <rFont val="Calibri"/>
        <charset val="134"/>
      </rPr>
      <t xml:space="preserve"> </t>
    </r>
  </si>
  <si>
    <t>Vehicle</t>
  </si>
  <si>
    <t>Price</t>
  </si>
  <si>
    <t>Answer:</t>
  </si>
  <si>
    <t>Car</t>
  </si>
  <si>
    <t>Bicycle</t>
  </si>
  <si>
    <t>Auto-Rickshaw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</si>
  <si>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</si>
  <si>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</si>
  <si>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</si>
  <si>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</si>
  <si>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</si>
  <si>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</si>
  <si>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Ques 4: 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</si>
  <si>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</si>
  <si>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</si>
  <si>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</si>
  <si>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</si>
  <si>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</si>
  <si>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</si>
  <si>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</si>
  <si>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</si>
  <si>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</si>
  <si>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</si>
  <si>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</si>
  <si>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</si>
  <si>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</si>
  <si>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</si>
  <si>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</si>
  <si>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</si>
  <si>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</si>
  <si>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</si>
  <si>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</si>
  <si>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</si>
  <si>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</si>
  <si>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</si>
  <si>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</si>
  <si>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</si>
  <si>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</si>
  <si>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</si>
  <si>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</si>
  <si>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</si>
  <si>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</si>
  <si>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</si>
  <si>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</si>
  <si>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</si>
  <si>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</si>
  <si>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</si>
  <si>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</si>
  <si>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</si>
  <si>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</si>
  <si>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</si>
  <si>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</si>
  <si>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</si>
  <si>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</si>
  <si>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</si>
  <si>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</si>
  <si>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</si>
  <si>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</si>
  <si>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</si>
  <si>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</si>
  <si>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</si>
  <si>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</si>
  <si>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</si>
  <si>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</si>
  <si>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</si>
  <si>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</si>
  <si>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</si>
  <si>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</si>
  <si>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</si>
  <si>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</si>
  <si>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</si>
  <si>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</si>
  <si>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</si>
  <si>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</si>
  <si>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</si>
  <si>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</si>
  <si>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</si>
  <si>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</si>
  <si>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</si>
  <si>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</si>
  <si>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</si>
  <si>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</si>
  <si>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</si>
  <si>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</si>
  <si>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</si>
  <si>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</si>
  <si>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</si>
  <si>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</si>
  <si>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</si>
  <si>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</si>
  <si>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</si>
  <si>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</si>
  <si>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</si>
  <si>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</si>
  <si>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</si>
  <si>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</si>
  <si>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</si>
  <si>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</si>
  <si>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</si>
  <si>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</si>
  <si>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</si>
  <si>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</si>
  <si>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</si>
  <si>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</si>
  <si>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</si>
  <si>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</si>
  <si>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 5: Calculate the Total Sales for each row using a formula.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</si>
  <si>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</si>
  <si>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</si>
  <si>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</si>
  <si>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</si>
  <si>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</si>
  <si>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</si>
  <si>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</si>
  <si>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</si>
  <si>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Ques 6: Calculate the total sales of Notebooks in the North region only</t>
  </si>
  <si>
    <t>Ques 7: Create a column chart showing total sales by product</t>
  </si>
  <si>
    <t>Total Sales</t>
  </si>
  <si>
    <t>Ques 8:Insert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</si>
</sst>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39">
    <font>
      <sz val="11"/>
      <color theme="1"/>
      <name val="Aptos Narrow"/>
      <charset val="134"/>
      <scheme val="minor"/>
    </font>
    <font>
      <b/>
      <sz val="16"/>
      <color rgb="FF000000"/>
      <name val="Calibri"/>
      <charset val="134"/>
    </font>
    <font>
      <sz val="16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Aptos Narrow"/>
      <charset val="134"/>
      <scheme val="minor"/>
    </font>
    <font>
      <b/>
      <sz val="16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4"/>
      <color theme="1"/>
      <name val="Calibri"/>
      <charset val="134"/>
    </font>
    <font>
      <sz val="16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A02B93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6"/>
      <color rgb="FF000000"/>
      <name val="Calibri"/>
      <charset val="134"/>
    </font>
    <font>
      <b/>
      <sz val="16"/>
      <color rgb="FFFFFF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9BD5"/>
      </left>
      <right/>
      <top style="thin">
        <color rgb="FF5B9BD5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9BC2E6"/>
      </bottom>
      <diagonal/>
    </border>
    <border>
      <left/>
      <right style="thin">
        <color rgb="FF5B9BD5"/>
      </right>
      <top style="thin">
        <color rgb="FF5B9BD5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5B9BD5"/>
      </right>
      <top style="thin">
        <color rgb="FF9BC2E6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5B9BD5"/>
      </bottom>
      <diagonal/>
    </border>
    <border>
      <left/>
      <right/>
      <top style="thin">
        <color rgb="FF9BC2E6"/>
      </top>
      <bottom style="thin">
        <color rgb="FF5B9BD5"/>
      </bottom>
      <diagonal/>
    </border>
    <border>
      <left/>
      <right style="thin">
        <color rgb="FF5B9BD5"/>
      </right>
      <top style="thin">
        <color rgb="FF9BC2E6"/>
      </top>
      <bottom style="thin">
        <color rgb="FF5B9BD5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3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27" fillId="15" borderId="24" applyNumberFormat="0" applyAlignment="0" applyProtection="0">
      <alignment vertical="center"/>
    </xf>
    <xf numFmtId="0" fontId="28" fillId="15" borderId="23" applyNumberFormat="0" applyAlignment="0" applyProtection="0">
      <alignment vertical="center"/>
    </xf>
    <xf numFmtId="0" fontId="29" fillId="16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 applyAlignment="1"/>
    <xf numFmtId="0" fontId="2" fillId="2" borderId="0" xfId="0" applyFont="1" applyFill="1"/>
    <xf numFmtId="0" fontId="0" fillId="2" borderId="0" xfId="0" applyFill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2" xfId="0" applyFont="1" applyFill="1" applyBorder="1"/>
    <xf numFmtId="0" fontId="3" fillId="0" borderId="1" xfId="0" applyFont="1" applyBorder="1" applyAlignment="1">
      <alignment wrapText="1"/>
    </xf>
    <xf numFmtId="58" fontId="3" fillId="0" borderId="1" xfId="0" applyNumberFormat="1" applyFont="1" applyBorder="1" applyAlignment="1">
      <alignment wrapText="1"/>
    </xf>
    <xf numFmtId="0" fontId="0" fillId="5" borderId="2" xfId="0" applyFont="1" applyFill="1" applyBorder="1"/>
    <xf numFmtId="0" fontId="3" fillId="4" borderId="1" xfId="0" applyFont="1" applyFill="1" applyBorder="1" applyAlignment="1">
      <alignment wrapText="1"/>
    </xf>
    <xf numFmtId="58" fontId="3" fillId="4" borderId="1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58" fontId="3" fillId="4" borderId="3" xfId="0" applyNumberFormat="1" applyFont="1" applyFill="1" applyBorder="1" applyAlignment="1">
      <alignment wrapText="1"/>
    </xf>
    <xf numFmtId="0" fontId="0" fillId="5" borderId="4" xfId="0" applyFont="1" applyFill="1" applyBorder="1"/>
    <xf numFmtId="0" fontId="0" fillId="6" borderId="0" xfId="0" applyFill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0" fillId="7" borderId="0" xfId="0" applyFill="1"/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178" fontId="3" fillId="0" borderId="6" xfId="0" applyNumberFormat="1" applyFont="1" applyFill="1" applyBorder="1" applyAlignment="1">
      <alignment horizontal="left" wrapText="1"/>
    </xf>
    <xf numFmtId="0" fontId="0" fillId="6" borderId="0" xfId="0" applyFill="1"/>
    <xf numFmtId="58" fontId="3" fillId="0" borderId="6" xfId="0" applyNumberFormat="1" applyFont="1" applyFill="1" applyBorder="1" applyAlignment="1">
      <alignment wrapText="1"/>
    </xf>
    <xf numFmtId="0" fontId="0" fillId="8" borderId="0" xfId="0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9" borderId="7" xfId="0" applyFont="1" applyFill="1" applyBorder="1" applyAlignment="1"/>
    <xf numFmtId="0" fontId="9" fillId="9" borderId="8" xfId="0" applyFont="1" applyFill="1" applyBorder="1" applyAlignment="1"/>
    <xf numFmtId="0" fontId="9" fillId="9" borderId="9" xfId="0" applyFont="1" applyFill="1" applyBorder="1" applyAlignment="1"/>
    <xf numFmtId="0" fontId="10" fillId="10" borderId="10" xfId="0" applyFont="1" applyFill="1" applyBorder="1" applyAlignment="1"/>
    <xf numFmtId="0" fontId="10" fillId="10" borderId="11" xfId="0" applyFont="1" applyFill="1" applyBorder="1" applyAlignment="1"/>
    <xf numFmtId="0" fontId="10" fillId="10" borderId="12" xfId="0" applyFont="1" applyFill="1" applyBorder="1" applyAlignment="1"/>
    <xf numFmtId="0" fontId="11" fillId="0" borderId="0" xfId="0" applyFont="1"/>
    <xf numFmtId="0" fontId="8" fillId="8" borderId="0" xfId="0" applyFont="1" applyFill="1" applyAlignment="1">
      <alignment wrapText="1"/>
    </xf>
    <xf numFmtId="0" fontId="10" fillId="0" borderId="10" xfId="0" applyFont="1" applyFill="1" applyBorder="1" applyAlignment="1"/>
    <xf numFmtId="0" fontId="10" fillId="0" borderId="11" xfId="0" applyFont="1" applyFill="1" applyBorder="1" applyAlignment="1"/>
    <xf numFmtId="0" fontId="10" fillId="0" borderId="12" xfId="0" applyFont="1" applyFill="1" applyBorder="1" applyAlignment="1"/>
    <xf numFmtId="0" fontId="10" fillId="10" borderId="13" xfId="0" applyFont="1" applyFill="1" applyBorder="1" applyAlignment="1"/>
    <xf numFmtId="0" fontId="10" fillId="10" borderId="14" xfId="0" applyFont="1" applyFill="1" applyBorder="1" applyAlignment="1"/>
    <xf numFmtId="0" fontId="10" fillId="10" borderId="15" xfId="0" applyFont="1" applyFill="1" applyBorder="1" applyAlignment="1"/>
    <xf numFmtId="0" fontId="8" fillId="0" borderId="0" xfId="0" applyFont="1" applyAlignment="1">
      <alignment wrapText="1"/>
    </xf>
    <xf numFmtId="0" fontId="12" fillId="2" borderId="0" xfId="0" applyFont="1" applyFill="1"/>
    <xf numFmtId="0" fontId="13" fillId="11" borderId="16" xfId="0" applyFont="1" applyFill="1" applyBorder="1"/>
    <xf numFmtId="0" fontId="13" fillId="11" borderId="17" xfId="0" applyFont="1" applyFill="1" applyBorder="1"/>
    <xf numFmtId="0" fontId="14" fillId="8" borderId="0" xfId="0" applyFont="1" applyFill="1"/>
    <xf numFmtId="0" fontId="15" fillId="4" borderId="16" xfId="0" applyFont="1" applyFill="1" applyBorder="1"/>
    <xf numFmtId="0" fontId="15" fillId="4" borderId="17" xfId="0" applyFont="1" applyFill="1" applyBorder="1"/>
    <xf numFmtId="0" fontId="15" fillId="0" borderId="16" xfId="0" applyFont="1" applyBorder="1"/>
    <xf numFmtId="0" fontId="15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6" fillId="12" borderId="0" xfId="0" applyFont="1" applyFill="1" applyAlignment="1">
      <alignment wrapText="1"/>
    </xf>
    <xf numFmtId="0" fontId="16" fillId="1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8" tint="0.799981688894314"/>
        </patternFill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5" tint="0.59999389629810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Chart</a:t>
            </a:r>
            <a:endParaRPr lang="en-US"/>
          </a:p>
        </c:rich>
      </c:tx>
      <c:layout>
        <c:manualLayout>
          <c:xMode val="edge"/>
          <c:yMode val="edge"/>
          <c:x val="0.313349624400398"/>
          <c:y val="0.0454545454545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637CEF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'Ques 7'!$A$4:$A$8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Eraser</c:v>
                </c:pt>
                <c:pt idx="4">
                  <c:v>Pencil</c:v>
                </c:pt>
              </c:strCache>
            </c:strRef>
          </c:cat>
          <c:val>
            <c:numRef>
              <c:f>'Ques 7'!$B$4:$B$8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1928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084679"/>
        <c:axId val="965086727"/>
      </c:barChart>
      <c:catAx>
        <c:axId val="96508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6727"/>
        <c:crosses val="autoZero"/>
        <c:auto val="1"/>
        <c:lblAlgn val="ctr"/>
        <c:lblOffset val="100"/>
        <c:noMultiLvlLbl val="0"/>
      </c:catAx>
      <c:valAx>
        <c:axId val="96508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1471417914128"/>
          <c:y val="0.856817465998568"/>
          <c:w val="0.19259842519685"/>
          <c:h val="0.102273443092341"/>
        </c:manualLayout>
      </c:layout>
      <c:overlay val="0"/>
      <c:spPr>
        <a:noFill/>
        <a:ln>
          <a:solidFill>
            <a:srgbClr val="0070B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8687f-8fc2-4da9-ba6f-12b3d1512e7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 5'!$H$4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'Ques 5'!$G$5:$G$54</c:f>
              <c:strCache>
                <c:ptCount val="50"/>
                <c:pt idx="0" c:formatCode="yyyy\-mm\-dd;@">
                  <c:v>2024-05-01</c:v>
                </c:pt>
                <c:pt idx="1" c:formatCode="yyyy\-mm\-dd;@">
                  <c:v>2024-06-01</c:v>
                </c:pt>
                <c:pt idx="2" c:formatCode="yyyy\-mm\-dd;@">
                  <c:v>2024-07-01</c:v>
                </c:pt>
                <c:pt idx="3" c:formatCode="yyyy\-mm\-dd;@">
                  <c:v>2024-08-01</c:v>
                </c:pt>
                <c:pt idx="4" c:formatCode="yyyy\-mm\-dd;@">
                  <c:v>2024-10-01</c:v>
                </c:pt>
                <c:pt idx="5" c:formatCode="yyyy\-mm\-dd;@">
                  <c:v>2024-11-01</c:v>
                </c:pt>
                <c:pt idx="6" c:formatCode="yyyy\-mm\-dd;@">
                  <c:v>13-01-2024</c:v>
                </c:pt>
                <c:pt idx="7" c:formatCode="yyyy\-mm\-dd;@">
                  <c:v>15-01-2024</c:v>
                </c:pt>
                <c:pt idx="8" c:formatCode="yyyy\-mm\-dd;@">
                  <c:v>17-01-2024</c:v>
                </c:pt>
                <c:pt idx="9" c:formatCode="yyyy\-mm\-dd;@">
                  <c:v>18-01-2024</c:v>
                </c:pt>
                <c:pt idx="10" c:formatCode="yyyy\-mm\-dd;@">
                  <c:v>19-01-2024</c:v>
                </c:pt>
                <c:pt idx="11" c:formatCode="yyyy\-mm\-dd;@">
                  <c:v>20-01-2024</c:v>
                </c:pt>
                <c:pt idx="12" c:formatCode="yyyy\-mm\-dd;@">
                  <c:v>22-01-2024</c:v>
                </c:pt>
                <c:pt idx="13" c:formatCode="yyyy\-mm\-dd;@">
                  <c:v>23-01-2024</c:v>
                </c:pt>
                <c:pt idx="14" c:formatCode="yyyy\-mm\-dd;@">
                  <c:v>24-01-2024</c:v>
                </c:pt>
                <c:pt idx="15" c:formatCode="yyyy\-mm\-dd;@">
                  <c:v>26-01-2024</c:v>
                </c:pt>
                <c:pt idx="16" c:formatCode="yyyy\-mm\-dd;@">
                  <c:v>28-01-2024</c:v>
                </c:pt>
                <c:pt idx="17" c:formatCode="yyyy\-mm\-dd;@">
                  <c:v>29-01-2024</c:v>
                </c:pt>
                <c:pt idx="18" c:formatCode="yyyy\-mm\-dd;@">
                  <c:v>30-01-2024</c:v>
                </c:pt>
                <c:pt idx="19" c:formatCode="yyyy\-mm\-dd;@">
                  <c:v>2024-01-02</c:v>
                </c:pt>
                <c:pt idx="20" c:formatCode="yyyy\-mm\-dd;@">
                  <c:v>2024-02-02</c:v>
                </c:pt>
                <c:pt idx="21" c:formatCode="yyyy\-mm\-dd;@">
                  <c:v>2024-03-02</c:v>
                </c:pt>
                <c:pt idx="22" c:formatCode="yyyy\-mm\-dd;@">
                  <c:v>2024-04-02</c:v>
                </c:pt>
                <c:pt idx="23" c:formatCode="yyyy\-mm\-dd;@">
                  <c:v>2024-06-02</c:v>
                </c:pt>
                <c:pt idx="24" c:formatCode="yyyy\-mm\-dd;@">
                  <c:v>2024-07-02</c:v>
                </c:pt>
                <c:pt idx="25" c:formatCode="yyyy\-mm\-dd;@">
                  <c:v>2024-08-02</c:v>
                </c:pt>
                <c:pt idx="26" c:formatCode="yyyy\-mm\-dd;@">
                  <c:v>2024-09-02</c:v>
                </c:pt>
                <c:pt idx="27" c:formatCode="yyyy\-mm\-dd;@">
                  <c:v>2024-10-02</c:v>
                </c:pt>
                <c:pt idx="28" c:formatCode="yyyy\-mm\-dd;@">
                  <c:v>2024-12-02</c:v>
                </c:pt>
                <c:pt idx="29" c:formatCode="yyyy\-mm\-dd;@">
                  <c:v>13-02-2024</c:v>
                </c:pt>
                <c:pt idx="30" c:formatCode="yyyy\-mm\-dd;@">
                  <c:v>14-02-2024</c:v>
                </c:pt>
                <c:pt idx="31" c:formatCode="yyyy\-mm\-dd;@">
                  <c:v>16-02-2024</c:v>
                </c:pt>
                <c:pt idx="32" c:formatCode="yyyy\-mm\-dd;@">
                  <c:v>17-02-2024</c:v>
                </c:pt>
                <c:pt idx="33" c:formatCode="yyyy\-mm\-dd;@">
                  <c:v>18-02-2024</c:v>
                </c:pt>
                <c:pt idx="34" c:formatCode="yyyy\-mm\-dd;@">
                  <c:v>19-02-2024</c:v>
                </c:pt>
                <c:pt idx="35" c:formatCode="yyyy\-mm\-dd;@">
                  <c:v>21-02-2024</c:v>
                </c:pt>
                <c:pt idx="36" c:formatCode="yyyy\-mm\-dd;@">
                  <c:v>22-02-2024</c:v>
                </c:pt>
                <c:pt idx="37" c:formatCode="yyyy\-mm\-dd;@">
                  <c:v>23-02-2024</c:v>
                </c:pt>
                <c:pt idx="38" c:formatCode="yyyy\-mm\-dd;@">
                  <c:v>25-02-2024</c:v>
                </c:pt>
                <c:pt idx="39" c:formatCode="yyyy\-mm\-dd;@">
                  <c:v>26-02-2024</c:v>
                </c:pt>
                <c:pt idx="40" c:formatCode="yyyy\-mm\-dd;@">
                  <c:v>27-02-2024</c:v>
                </c:pt>
                <c:pt idx="41" c:formatCode="yyyy\-mm\-dd;@">
                  <c:v>28-02-2024</c:v>
                </c:pt>
                <c:pt idx="42" c:formatCode="yyyy\-mm\-dd;@">
                  <c:v>2024-01-03</c:v>
                </c:pt>
                <c:pt idx="43" c:formatCode="yyyy\-mm\-dd;@">
                  <c:v>2024-02-03</c:v>
                </c:pt>
                <c:pt idx="44" c:formatCode="yyyy\-mm\-dd;@">
                  <c:v>2024-03-03</c:v>
                </c:pt>
                <c:pt idx="45" c:formatCode="yyyy\-mm\-dd;@">
                  <c:v>2024-04-03</c:v>
                </c:pt>
                <c:pt idx="46" c:formatCode="yyyy\-mm\-dd;@">
                  <c:v>2024-05-03</c:v>
                </c:pt>
                <c:pt idx="47" c:formatCode="yyyy\-mm\-dd;@">
                  <c:v>2024-06-03</c:v>
                </c:pt>
                <c:pt idx="48" c:formatCode="yyyy\-mm\-dd;@">
                  <c:v>2024-07-03</c:v>
                </c:pt>
                <c:pt idx="49" c:formatCode="yyyy\-mm\-dd;@">
                  <c:v>2024-08-03</c:v>
                </c:pt>
              </c:strCache>
            </c:strRef>
          </c:cat>
          <c:val>
            <c:numRef>
              <c:f>'Ques 5'!$H$5:$H$54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9787144"/>
        <c:axId val="2043703816"/>
      </c:lineChart>
      <c:catAx>
        <c:axId val="202978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3703816"/>
        <c:crosses val="autoZero"/>
        <c:auto val="1"/>
        <c:lblAlgn val="ctr"/>
        <c:lblOffset val="100"/>
        <c:noMultiLvlLbl val="0"/>
      </c:catAx>
      <c:valAx>
        <c:axId val="204370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78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c68b6-bd62-4bcb-b5fd-4e357a310df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2085975</xdr:colOff>
      <xdr:row>2</xdr:row>
      <xdr:rowOff>0</xdr:rowOff>
    </xdr:from>
    <xdr:to>
      <xdr:col>8</xdr:col>
      <xdr:colOff>466725</xdr:colOff>
      <xdr:row>13</xdr:row>
      <xdr:rowOff>0</xdr:rowOff>
    </xdr:to>
    <xdr:graphicFrame>
      <xdr:nvGraphicFramePr>
        <xdr:cNvPr id="2" name="Chart 1"/>
        <xdr:cNvGraphicFramePr/>
      </xdr:nvGraphicFramePr>
      <xdr:xfrm>
        <a:off x="4410710" y="444500"/>
        <a:ext cx="407860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4</xdr:row>
      <xdr:rowOff>47625</xdr:rowOff>
    </xdr:from>
    <xdr:to>
      <xdr:col>8</xdr:col>
      <xdr:colOff>447675</xdr:colOff>
      <xdr:row>18</xdr:row>
      <xdr:rowOff>123825</xdr:rowOff>
    </xdr:to>
    <xdr:graphicFrame>
      <xdr:nvGraphicFramePr>
        <xdr:cNvPr id="2" name="Chart 1"/>
        <xdr:cNvGraphicFramePr/>
      </xdr:nvGraphicFramePr>
      <xdr:xfrm>
        <a:off x="2697480" y="847725"/>
        <a:ext cx="470535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A4:H54" totalsRowShown="0">
  <autoFilter xmlns:etc="http://www.wps.cn/officeDocument/2017/etCustomData" ref="A4:H54" etc:filterBottomFollowUsedRange="0"/>
  <tableColumns count="8">
    <tableColumn id="1" name="OrderID" dataDxfId="0"/>
    <tableColumn id="2" name="CustomerName" dataDxfId="1"/>
    <tableColumn id="3" name="Region" dataDxfId="2"/>
    <tableColumn id="4" name="Product" dataDxfId="3"/>
    <tableColumn id="5" name="Quantity" dataDxfId="4"/>
    <tableColumn id="6" name="UnitPrice" dataDxfId="5"/>
    <tableColumn id="7" name="OrderDate" dataDxfId="6"/>
    <tableColumn id="8" name="Total Sales " dataDxfId="7">
      <calculatedColumnFormula>$E5*$F5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54" totalsRowShown="0">
  <autoFilter xmlns:etc="http://www.wps.cn/officeDocument/2017/etCustomData" ref="A3:H54" etc:filterBottomFollowUsedRange="0"/>
  <tableColumns count="8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  <tableColumn id="7" name="Column7" dataDxfId="14"/>
    <tableColumn id="8" name="Column8" dataDxfId="15">
      <calculatedColumnFormula>$E4*$F4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3:B8" totalsRowShown="0">
  <autoFilter xmlns:etc="http://www.wps.cn/officeDocument/2017/etCustomData" ref="A3:B8" etc:filterBottomFollowUsedRange="0"/>
  <tableColumns count="2">
    <tableColumn id="1" name="Product"/>
    <tableColumn id="2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N11"/>
  <sheetViews>
    <sheetView workbookViewId="0">
      <selection activeCell="A1" sqref="A1:N11"/>
    </sheetView>
  </sheetViews>
  <sheetFormatPr defaultColWidth="8.72727272727273" defaultRowHeight="14"/>
  <cols>
    <col min="11" max="11" width="29.0909090909091" customWidth="1"/>
  </cols>
  <sheetData>
    <row r="1" spans="1:14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ht="18.5" spans="1:14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ht="18.5" spans="1:14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ht="18.5" spans="1:14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ht="18.5" spans="1:14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ht="18.5" spans="1:14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</sheetData>
  <mergeCells count="1">
    <mergeCell ref="A1:N11"/>
  </mergeCells>
  <pageMargins left="0.25" right="0.25" top="0.75" bottom="0.75" header="0.298611111111111" footer="0.298611111111111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1" sqref="E11"/>
    </sheetView>
  </sheetViews>
  <sheetFormatPr defaultColWidth="9" defaultRowHeight="14" outlineLevelRow="7" outlineLevelCol="5"/>
  <cols>
    <col min="1" max="1" width="36.5727272727273" customWidth="1"/>
    <col min="2" max="2" width="9.36363636363636"/>
    <col min="5" max="5" width="11" customWidth="1"/>
    <col min="6" max="6" width="9.36363636363636"/>
  </cols>
  <sheetData>
    <row r="1" ht="21" spans="1:6">
      <c r="A1" s="1" t="s">
        <v>1</v>
      </c>
      <c r="B1" s="46"/>
      <c r="C1" s="46"/>
      <c r="D1" s="46"/>
      <c r="E1" s="46"/>
      <c r="F1" s="46"/>
    </row>
    <row r="4" ht="18.5" spans="1:6">
      <c r="A4" s="47" t="s">
        <v>2</v>
      </c>
      <c r="B4" s="48" t="s">
        <v>3</v>
      </c>
      <c r="D4" s="30"/>
      <c r="E4" s="49" t="s">
        <v>4</v>
      </c>
      <c r="F4" s="45" cm="1">
        <f t="array" ref="F4">SUM(SUMIFS(B5:B7,A5:A7,{"car","bicycle"}))</f>
        <v>510500</v>
      </c>
    </row>
    <row r="5" ht="18.5" spans="1:2">
      <c r="A5" s="50" t="s">
        <v>5</v>
      </c>
      <c r="B5" s="51">
        <v>500000</v>
      </c>
    </row>
    <row r="6" ht="18.5" spans="1:2">
      <c r="A6" s="52" t="s">
        <v>6</v>
      </c>
      <c r="B6" s="53">
        <v>10500</v>
      </c>
    </row>
    <row r="7" ht="18.5" spans="1:2">
      <c r="A7" s="50" t="s">
        <v>7</v>
      </c>
      <c r="B7" s="51">
        <v>25000</v>
      </c>
    </row>
    <row r="8" spans="1:2">
      <c r="A8" s="54"/>
      <c r="B8" s="5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14" sqref="E14"/>
    </sheetView>
  </sheetViews>
  <sheetFormatPr defaultColWidth="9" defaultRowHeight="14"/>
  <cols>
    <col min="6" max="6" width="36.5727272727273" customWidth="1"/>
  </cols>
  <sheetData>
    <row r="1" ht="21" spans="1:11">
      <c r="A1" s="1" t="s">
        <v>8</v>
      </c>
      <c r="B1" s="28"/>
      <c r="C1" s="28"/>
      <c r="D1" s="28"/>
      <c r="E1" s="28"/>
      <c r="F1" s="28"/>
      <c r="G1" s="28"/>
      <c r="H1" s="28"/>
      <c r="I1" s="28"/>
      <c r="J1" s="29"/>
      <c r="K1" s="29"/>
    </row>
    <row r="2" spans="1:1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4" ht="18.5" spans="1:6">
      <c r="A4" s="30"/>
      <c r="B4" s="30"/>
      <c r="C4" s="30"/>
      <c r="D4" s="30"/>
      <c r="E4" s="30"/>
      <c r="F4" s="30"/>
    </row>
    <row r="5" ht="18.5" spans="1:6">
      <c r="A5" s="30"/>
      <c r="B5" s="31" t="s">
        <v>9</v>
      </c>
      <c r="C5" s="32" t="s">
        <v>3</v>
      </c>
      <c r="D5" s="33" t="s">
        <v>10</v>
      </c>
      <c r="E5" s="30"/>
      <c r="F5" s="30"/>
    </row>
    <row r="6" ht="18.5" spans="1:6">
      <c r="A6" s="30"/>
      <c r="B6" s="34" t="s">
        <v>11</v>
      </c>
      <c r="C6" s="35">
        <v>90</v>
      </c>
      <c r="D6" s="36">
        <v>1000</v>
      </c>
      <c r="E6" s="37"/>
      <c r="F6" s="38">
        <f>AVERAGEIFS(D6:D8,C6:C8,"&gt;100",C6:C8,"&lt;300")</f>
        <v>1350</v>
      </c>
    </row>
    <row r="7" ht="18.5" spans="1:6">
      <c r="A7" s="30"/>
      <c r="B7" s="39" t="s">
        <v>12</v>
      </c>
      <c r="C7" s="40">
        <v>150</v>
      </c>
      <c r="D7" s="41">
        <v>1200</v>
      </c>
      <c r="E7" s="30"/>
      <c r="F7" s="30"/>
    </row>
    <row r="8" ht="18.5" spans="1:6">
      <c r="A8" s="30"/>
      <c r="B8" s="42" t="s">
        <v>13</v>
      </c>
      <c r="C8" s="43">
        <v>200</v>
      </c>
      <c r="D8" s="44">
        <v>1500</v>
      </c>
      <c r="E8" s="30"/>
      <c r="F8" s="45"/>
    </row>
    <row r="9" ht="18.5" spans="1:6">
      <c r="A9" s="30"/>
      <c r="B9" s="30"/>
      <c r="C9" s="30"/>
      <c r="D9" s="30"/>
      <c r="E9" s="30"/>
      <c r="F9" s="3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A1" sqref="A1"/>
    </sheetView>
  </sheetViews>
  <sheetFormatPr defaultColWidth="9" defaultRowHeight="14"/>
  <cols>
    <col min="1" max="1" width="14.1363636363636" customWidth="1"/>
    <col min="2" max="2" width="11.4272727272727" customWidth="1"/>
    <col min="3" max="3" width="9.57272727272727" customWidth="1"/>
    <col min="4" max="4" width="10.4272727272727" customWidth="1"/>
    <col min="5" max="5" width="11.2818181818182" customWidth="1"/>
    <col min="6" max="7" width="11.4272727272727" customWidth="1"/>
    <col min="8" max="8" width="13.1363636363636" customWidth="1"/>
    <col min="10" max="10" width="36.5727272727273" customWidth="1"/>
  </cols>
  <sheetData>
    <row r="1" ht="21" spans="1:8">
      <c r="A1" s="4" t="s">
        <v>14</v>
      </c>
      <c r="B1" s="4"/>
      <c r="C1" s="4"/>
      <c r="D1" s="5"/>
      <c r="E1" s="5"/>
      <c r="F1" s="3"/>
      <c r="G1" s="3"/>
      <c r="H1" s="3"/>
    </row>
    <row r="3" ht="14.75"/>
    <row r="4" ht="29.75" spans="1:16">
      <c r="A4" s="19" t="s">
        <v>15</v>
      </c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t="s">
        <v>22</v>
      </c>
      <c r="O4" s="5"/>
      <c r="P4" s="3"/>
    </row>
    <row r="5" ht="15.25" spans="1:12">
      <c r="A5" s="22">
        <v>1001</v>
      </c>
      <c r="B5" s="23" t="s">
        <v>23</v>
      </c>
      <c r="C5" s="23" t="s">
        <v>24</v>
      </c>
      <c r="D5" s="23" t="s">
        <v>25</v>
      </c>
      <c r="E5" s="23">
        <v>10</v>
      </c>
      <c r="F5" s="23">
        <v>50</v>
      </c>
      <c r="G5" s="26">
        <v>45413</v>
      </c>
      <c r="H5" s="27">
        <f>$E5*$F5</f>
        <v>500</v>
      </c>
      <c r="L5" s="25">
        <f>COUNT(A5:A54)</f>
        <v>50</v>
      </c>
    </row>
    <row r="6" ht="15.25" spans="1:8">
      <c r="A6" s="22">
        <v>1002</v>
      </c>
      <c r="B6" s="23" t="s">
        <v>26</v>
      </c>
      <c r="C6" s="23" t="s">
        <v>27</v>
      </c>
      <c r="D6" s="23" t="s">
        <v>28</v>
      </c>
      <c r="E6" s="23">
        <v>20</v>
      </c>
      <c r="F6" s="23">
        <v>10</v>
      </c>
      <c r="G6" s="26">
        <v>45444</v>
      </c>
      <c r="H6" s="27">
        <f t="shared" ref="H6:H54" si="0">$E6*$F6</f>
        <v>200</v>
      </c>
    </row>
    <row r="7" ht="15.25" spans="1:8">
      <c r="A7" s="22">
        <v>1003</v>
      </c>
      <c r="B7" s="23" t="s">
        <v>29</v>
      </c>
      <c r="C7" s="23" t="s">
        <v>30</v>
      </c>
      <c r="D7" s="23" t="s">
        <v>31</v>
      </c>
      <c r="E7" s="23">
        <v>15</v>
      </c>
      <c r="F7" s="23">
        <v>25</v>
      </c>
      <c r="G7" s="26">
        <v>45474</v>
      </c>
      <c r="H7" s="27">
        <f t="shared" si="0"/>
        <v>375</v>
      </c>
    </row>
    <row r="8" ht="15.25" spans="1:8">
      <c r="A8" s="22">
        <v>1004</v>
      </c>
      <c r="B8" s="23" t="s">
        <v>32</v>
      </c>
      <c r="C8" s="23" t="s">
        <v>33</v>
      </c>
      <c r="D8" s="23" t="s">
        <v>25</v>
      </c>
      <c r="E8" s="23">
        <v>5</v>
      </c>
      <c r="F8" s="23">
        <v>50</v>
      </c>
      <c r="G8" s="26">
        <v>45505</v>
      </c>
      <c r="H8" s="27">
        <f t="shared" si="0"/>
        <v>250</v>
      </c>
    </row>
    <row r="9" ht="15.25" spans="1:8">
      <c r="A9" s="22">
        <v>1005</v>
      </c>
      <c r="B9" s="23" t="s">
        <v>34</v>
      </c>
      <c r="C9" s="23" t="s">
        <v>24</v>
      </c>
      <c r="D9" s="23" t="s">
        <v>35</v>
      </c>
      <c r="E9" s="23">
        <v>30</v>
      </c>
      <c r="F9" s="23">
        <v>5</v>
      </c>
      <c r="G9" s="26">
        <v>45566</v>
      </c>
      <c r="H9" s="27">
        <f t="shared" si="0"/>
        <v>150</v>
      </c>
    </row>
    <row r="10" ht="15.25" spans="1:8">
      <c r="A10" s="22">
        <v>1006</v>
      </c>
      <c r="B10" s="23" t="s">
        <v>36</v>
      </c>
      <c r="C10" s="23" t="s">
        <v>27</v>
      </c>
      <c r="D10" s="23" t="s">
        <v>25</v>
      </c>
      <c r="E10" s="23">
        <v>12</v>
      </c>
      <c r="F10" s="23">
        <v>50</v>
      </c>
      <c r="G10" s="26">
        <v>45597</v>
      </c>
      <c r="H10" s="27">
        <f t="shared" si="0"/>
        <v>600</v>
      </c>
    </row>
    <row r="11" ht="15.25" spans="1:8">
      <c r="A11" s="22">
        <v>1007</v>
      </c>
      <c r="B11" s="23" t="s">
        <v>37</v>
      </c>
      <c r="C11" s="23" t="s">
        <v>30</v>
      </c>
      <c r="D11" s="23" t="s">
        <v>38</v>
      </c>
      <c r="E11" s="23">
        <v>25</v>
      </c>
      <c r="F11" s="23">
        <v>8</v>
      </c>
      <c r="G11" s="23" t="s">
        <v>39</v>
      </c>
      <c r="H11" s="27">
        <f t="shared" si="0"/>
        <v>200</v>
      </c>
    </row>
    <row r="12" ht="15.25" spans="1:8">
      <c r="A12" s="22">
        <v>1008</v>
      </c>
      <c r="B12" s="23" t="s">
        <v>40</v>
      </c>
      <c r="C12" s="23" t="s">
        <v>33</v>
      </c>
      <c r="D12" s="23" t="s">
        <v>28</v>
      </c>
      <c r="E12" s="23">
        <v>18</v>
      </c>
      <c r="F12" s="23">
        <v>10</v>
      </c>
      <c r="G12" s="23" t="s">
        <v>41</v>
      </c>
      <c r="H12" s="27">
        <f t="shared" si="0"/>
        <v>180</v>
      </c>
    </row>
    <row r="13" ht="15.25" spans="1:8">
      <c r="A13" s="22">
        <v>1009</v>
      </c>
      <c r="B13" s="23" t="s">
        <v>42</v>
      </c>
      <c r="C13" s="23" t="s">
        <v>24</v>
      </c>
      <c r="D13" s="23" t="s">
        <v>31</v>
      </c>
      <c r="E13" s="23">
        <v>22</v>
      </c>
      <c r="F13" s="23">
        <v>25</v>
      </c>
      <c r="G13" s="23" t="s">
        <v>43</v>
      </c>
      <c r="H13" s="27">
        <f t="shared" si="0"/>
        <v>550</v>
      </c>
    </row>
    <row r="14" ht="15.25" spans="1:8">
      <c r="A14" s="22">
        <v>1010</v>
      </c>
      <c r="B14" s="23" t="s">
        <v>44</v>
      </c>
      <c r="C14" s="23" t="s">
        <v>27</v>
      </c>
      <c r="D14" s="23" t="s">
        <v>25</v>
      </c>
      <c r="E14" s="23">
        <v>8</v>
      </c>
      <c r="F14" s="23">
        <v>50</v>
      </c>
      <c r="G14" s="23" t="s">
        <v>45</v>
      </c>
      <c r="H14" s="27">
        <f t="shared" si="0"/>
        <v>400</v>
      </c>
    </row>
    <row r="15" ht="15.25" spans="1:8">
      <c r="A15" s="22">
        <v>1011</v>
      </c>
      <c r="B15" s="23" t="s">
        <v>46</v>
      </c>
      <c r="C15" s="23" t="s">
        <v>30</v>
      </c>
      <c r="D15" s="23" t="s">
        <v>35</v>
      </c>
      <c r="E15" s="23">
        <v>40</v>
      </c>
      <c r="F15" s="23">
        <v>5</v>
      </c>
      <c r="G15" s="23" t="s">
        <v>47</v>
      </c>
      <c r="H15" s="27">
        <f t="shared" si="0"/>
        <v>200</v>
      </c>
    </row>
    <row r="16" ht="29.75" spans="1:8">
      <c r="A16" s="22">
        <v>1012</v>
      </c>
      <c r="B16" s="23" t="s">
        <v>48</v>
      </c>
      <c r="C16" s="23" t="s">
        <v>33</v>
      </c>
      <c r="D16" s="23" t="s">
        <v>38</v>
      </c>
      <c r="E16" s="23">
        <v>35</v>
      </c>
      <c r="F16" s="23">
        <v>8</v>
      </c>
      <c r="G16" s="23" t="s">
        <v>49</v>
      </c>
      <c r="H16" s="27">
        <f t="shared" si="0"/>
        <v>280</v>
      </c>
    </row>
    <row r="17" ht="15.25" spans="1:8">
      <c r="A17" s="22">
        <v>1013</v>
      </c>
      <c r="B17" s="23" t="s">
        <v>50</v>
      </c>
      <c r="C17" s="23" t="s">
        <v>24</v>
      </c>
      <c r="D17" s="23" t="s">
        <v>25</v>
      </c>
      <c r="E17" s="23">
        <v>14</v>
      </c>
      <c r="F17" s="23">
        <v>50</v>
      </c>
      <c r="G17" s="23" t="s">
        <v>51</v>
      </c>
      <c r="H17" s="27">
        <f t="shared" si="0"/>
        <v>700</v>
      </c>
    </row>
    <row r="18" ht="29.75" spans="1:8">
      <c r="A18" s="22">
        <v>1014</v>
      </c>
      <c r="B18" s="23" t="s">
        <v>52</v>
      </c>
      <c r="C18" s="23" t="s">
        <v>27</v>
      </c>
      <c r="D18" s="23" t="s">
        <v>28</v>
      </c>
      <c r="E18" s="23">
        <v>28</v>
      </c>
      <c r="F18" s="23">
        <v>10</v>
      </c>
      <c r="G18" s="23" t="s">
        <v>53</v>
      </c>
      <c r="H18" s="27">
        <f t="shared" si="0"/>
        <v>280</v>
      </c>
    </row>
    <row r="19" ht="15.25" spans="1:8">
      <c r="A19" s="22">
        <v>1015</v>
      </c>
      <c r="B19" s="23" t="s">
        <v>54</v>
      </c>
      <c r="C19" s="23" t="s">
        <v>30</v>
      </c>
      <c r="D19" s="23" t="s">
        <v>31</v>
      </c>
      <c r="E19" s="23">
        <v>12</v>
      </c>
      <c r="F19" s="23">
        <v>25</v>
      </c>
      <c r="G19" s="23" t="s">
        <v>55</v>
      </c>
      <c r="H19" s="27">
        <f t="shared" si="0"/>
        <v>300</v>
      </c>
    </row>
    <row r="20" ht="15.25" spans="1:8">
      <c r="A20" s="22">
        <v>1016</v>
      </c>
      <c r="B20" s="23" t="s">
        <v>56</v>
      </c>
      <c r="C20" s="23" t="s">
        <v>33</v>
      </c>
      <c r="D20" s="23" t="s">
        <v>35</v>
      </c>
      <c r="E20" s="23">
        <v>25</v>
      </c>
      <c r="F20" s="23">
        <v>5</v>
      </c>
      <c r="G20" s="23" t="s">
        <v>57</v>
      </c>
      <c r="H20" s="27">
        <f t="shared" si="0"/>
        <v>125</v>
      </c>
    </row>
    <row r="21" ht="29.75" spans="1:8">
      <c r="A21" s="22">
        <v>1017</v>
      </c>
      <c r="B21" s="23" t="s">
        <v>58</v>
      </c>
      <c r="C21" s="23" t="s">
        <v>24</v>
      </c>
      <c r="D21" s="23" t="s">
        <v>38</v>
      </c>
      <c r="E21" s="23">
        <v>20</v>
      </c>
      <c r="F21" s="23">
        <v>8</v>
      </c>
      <c r="G21" s="23" t="s">
        <v>59</v>
      </c>
      <c r="H21" s="27">
        <f t="shared" si="0"/>
        <v>160</v>
      </c>
    </row>
    <row r="22" ht="29.75" spans="1:8">
      <c r="A22" s="22">
        <v>1018</v>
      </c>
      <c r="B22" s="23" t="s">
        <v>60</v>
      </c>
      <c r="C22" s="23" t="s">
        <v>27</v>
      </c>
      <c r="D22" s="23" t="s">
        <v>25</v>
      </c>
      <c r="E22" s="23">
        <v>10</v>
      </c>
      <c r="F22" s="23">
        <v>50</v>
      </c>
      <c r="G22" s="23" t="s">
        <v>61</v>
      </c>
      <c r="H22" s="27">
        <f t="shared" si="0"/>
        <v>500</v>
      </c>
    </row>
    <row r="23" ht="29.75" spans="1:8">
      <c r="A23" s="22">
        <v>1019</v>
      </c>
      <c r="B23" s="23" t="s">
        <v>62</v>
      </c>
      <c r="C23" s="23" t="s">
        <v>30</v>
      </c>
      <c r="D23" s="23" t="s">
        <v>28</v>
      </c>
      <c r="E23" s="23">
        <v>15</v>
      </c>
      <c r="F23" s="23">
        <v>10</v>
      </c>
      <c r="G23" s="23" t="s">
        <v>63</v>
      </c>
      <c r="H23" s="27">
        <f t="shared" si="0"/>
        <v>150</v>
      </c>
    </row>
    <row r="24" ht="15.25" spans="1:8">
      <c r="A24" s="22">
        <v>1020</v>
      </c>
      <c r="B24" s="23" t="s">
        <v>64</v>
      </c>
      <c r="C24" s="23" t="s">
        <v>33</v>
      </c>
      <c r="D24" s="23" t="s">
        <v>31</v>
      </c>
      <c r="E24" s="23">
        <v>18</v>
      </c>
      <c r="F24" s="23">
        <v>25</v>
      </c>
      <c r="G24" s="26">
        <v>45293</v>
      </c>
      <c r="H24" s="27">
        <f t="shared" si="0"/>
        <v>450</v>
      </c>
    </row>
    <row r="25" ht="15.25" spans="1:8">
      <c r="A25" s="22">
        <v>1021</v>
      </c>
      <c r="B25" s="23" t="s">
        <v>65</v>
      </c>
      <c r="C25" s="23" t="s">
        <v>24</v>
      </c>
      <c r="D25" s="23" t="s">
        <v>25</v>
      </c>
      <c r="E25" s="23">
        <v>9</v>
      </c>
      <c r="F25" s="23">
        <v>50</v>
      </c>
      <c r="G25" s="26">
        <v>45324</v>
      </c>
      <c r="H25" s="27">
        <f t="shared" si="0"/>
        <v>450</v>
      </c>
    </row>
    <row r="26" ht="15.25" spans="1:8">
      <c r="A26" s="22">
        <v>1022</v>
      </c>
      <c r="B26" s="23" t="s">
        <v>66</v>
      </c>
      <c r="C26" s="23" t="s">
        <v>27</v>
      </c>
      <c r="D26" s="23" t="s">
        <v>35</v>
      </c>
      <c r="E26" s="23">
        <v>35</v>
      </c>
      <c r="F26" s="23">
        <v>5</v>
      </c>
      <c r="G26" s="26">
        <v>45353</v>
      </c>
      <c r="H26" s="27">
        <f t="shared" si="0"/>
        <v>175</v>
      </c>
    </row>
    <row r="27" ht="15.25" spans="1:8">
      <c r="A27" s="22">
        <v>1023</v>
      </c>
      <c r="B27" s="23" t="s">
        <v>67</v>
      </c>
      <c r="C27" s="23" t="s">
        <v>30</v>
      </c>
      <c r="D27" s="23" t="s">
        <v>38</v>
      </c>
      <c r="E27" s="23">
        <v>30</v>
      </c>
      <c r="F27" s="23">
        <v>8</v>
      </c>
      <c r="G27" s="26">
        <v>45384</v>
      </c>
      <c r="H27" s="27">
        <f t="shared" si="0"/>
        <v>240</v>
      </c>
    </row>
    <row r="28" ht="15.25" spans="1:8">
      <c r="A28" s="22">
        <v>1024</v>
      </c>
      <c r="B28" s="23" t="s">
        <v>68</v>
      </c>
      <c r="C28" s="23" t="s">
        <v>33</v>
      </c>
      <c r="D28" s="23" t="s">
        <v>25</v>
      </c>
      <c r="E28" s="23">
        <v>11</v>
      </c>
      <c r="F28" s="23">
        <v>50</v>
      </c>
      <c r="G28" s="26">
        <v>45445</v>
      </c>
      <c r="H28" s="27">
        <f t="shared" si="0"/>
        <v>550</v>
      </c>
    </row>
    <row r="29" ht="29.75" spans="1:8">
      <c r="A29" s="22">
        <v>1025</v>
      </c>
      <c r="B29" s="23" t="s">
        <v>69</v>
      </c>
      <c r="C29" s="23" t="s">
        <v>24</v>
      </c>
      <c r="D29" s="23" t="s">
        <v>28</v>
      </c>
      <c r="E29" s="23">
        <v>14</v>
      </c>
      <c r="F29" s="23">
        <v>10</v>
      </c>
      <c r="G29" s="26">
        <v>45475</v>
      </c>
      <c r="H29" s="27">
        <f t="shared" si="0"/>
        <v>140</v>
      </c>
    </row>
    <row r="30" ht="29.75" spans="1:8">
      <c r="A30" s="22">
        <v>1026</v>
      </c>
      <c r="B30" s="23" t="s">
        <v>70</v>
      </c>
      <c r="C30" s="23" t="s">
        <v>27</v>
      </c>
      <c r="D30" s="23" t="s">
        <v>31</v>
      </c>
      <c r="E30" s="23">
        <v>16</v>
      </c>
      <c r="F30" s="23">
        <v>25</v>
      </c>
      <c r="G30" s="26">
        <v>45506</v>
      </c>
      <c r="H30" s="27">
        <f t="shared" si="0"/>
        <v>400</v>
      </c>
    </row>
    <row r="31" ht="15.25" spans="1:8">
      <c r="A31" s="22">
        <v>1027</v>
      </c>
      <c r="B31" s="23" t="s">
        <v>71</v>
      </c>
      <c r="C31" s="23" t="s">
        <v>30</v>
      </c>
      <c r="D31" s="23" t="s">
        <v>35</v>
      </c>
      <c r="E31" s="23">
        <v>22</v>
      </c>
      <c r="F31" s="23">
        <v>5</v>
      </c>
      <c r="G31" s="26">
        <v>45537</v>
      </c>
      <c r="H31" s="27">
        <f t="shared" si="0"/>
        <v>110</v>
      </c>
    </row>
    <row r="32" ht="15.25" spans="1:8">
      <c r="A32" s="22">
        <v>1028</v>
      </c>
      <c r="B32" s="23" t="s">
        <v>72</v>
      </c>
      <c r="C32" s="23" t="s">
        <v>33</v>
      </c>
      <c r="D32" s="23" t="s">
        <v>38</v>
      </c>
      <c r="E32" s="23">
        <v>27</v>
      </c>
      <c r="F32" s="23">
        <v>8</v>
      </c>
      <c r="G32" s="26">
        <v>45567</v>
      </c>
      <c r="H32" s="27">
        <f t="shared" si="0"/>
        <v>216</v>
      </c>
    </row>
    <row r="33" ht="29.75" spans="1:8">
      <c r="A33" s="22">
        <v>1029</v>
      </c>
      <c r="B33" s="23" t="s">
        <v>73</v>
      </c>
      <c r="C33" s="23" t="s">
        <v>24</v>
      </c>
      <c r="D33" s="23" t="s">
        <v>25</v>
      </c>
      <c r="E33" s="23">
        <v>13</v>
      </c>
      <c r="F33" s="23">
        <v>50</v>
      </c>
      <c r="G33" s="26">
        <v>45628</v>
      </c>
      <c r="H33" s="27">
        <f t="shared" si="0"/>
        <v>650</v>
      </c>
    </row>
    <row r="34" ht="29.75" spans="1:8">
      <c r="A34" s="22">
        <v>1030</v>
      </c>
      <c r="B34" s="23" t="s">
        <v>74</v>
      </c>
      <c r="C34" s="23" t="s">
        <v>27</v>
      </c>
      <c r="D34" s="23" t="s">
        <v>28</v>
      </c>
      <c r="E34" s="23">
        <v>32</v>
      </c>
      <c r="F34" s="23">
        <v>10</v>
      </c>
      <c r="G34" s="23" t="s">
        <v>75</v>
      </c>
      <c r="H34" s="27">
        <f t="shared" si="0"/>
        <v>320</v>
      </c>
    </row>
    <row r="35" ht="15.25" spans="1:8">
      <c r="A35" s="22">
        <v>1031</v>
      </c>
      <c r="B35" s="23" t="s">
        <v>76</v>
      </c>
      <c r="C35" s="23" t="s">
        <v>30</v>
      </c>
      <c r="D35" s="23" t="s">
        <v>31</v>
      </c>
      <c r="E35" s="23">
        <v>10</v>
      </c>
      <c r="F35" s="23">
        <v>25</v>
      </c>
      <c r="G35" s="23" t="s">
        <v>77</v>
      </c>
      <c r="H35" s="27">
        <f t="shared" si="0"/>
        <v>250</v>
      </c>
    </row>
    <row r="36" ht="15.25" spans="1:8">
      <c r="A36" s="22">
        <v>1032</v>
      </c>
      <c r="B36" s="23" t="s">
        <v>78</v>
      </c>
      <c r="C36" s="23" t="s">
        <v>33</v>
      </c>
      <c r="D36" s="23" t="s">
        <v>35</v>
      </c>
      <c r="E36" s="23">
        <v>18</v>
      </c>
      <c r="F36" s="23">
        <v>5</v>
      </c>
      <c r="G36" s="23" t="s">
        <v>79</v>
      </c>
      <c r="H36" s="27">
        <f t="shared" si="0"/>
        <v>90</v>
      </c>
    </row>
    <row r="37" ht="29.75" spans="1:8">
      <c r="A37" s="22">
        <v>1033</v>
      </c>
      <c r="B37" s="23" t="s">
        <v>80</v>
      </c>
      <c r="C37" s="23" t="s">
        <v>24</v>
      </c>
      <c r="D37" s="23" t="s">
        <v>38</v>
      </c>
      <c r="E37" s="23">
        <v>22</v>
      </c>
      <c r="F37" s="23">
        <v>8</v>
      </c>
      <c r="G37" s="23" t="s">
        <v>81</v>
      </c>
      <c r="H37" s="27">
        <f t="shared" si="0"/>
        <v>176</v>
      </c>
    </row>
    <row r="38" ht="15.25" spans="1:8">
      <c r="A38" s="22">
        <v>1034</v>
      </c>
      <c r="B38" s="23" t="s">
        <v>82</v>
      </c>
      <c r="C38" s="23" t="s">
        <v>27</v>
      </c>
      <c r="D38" s="23" t="s">
        <v>25</v>
      </c>
      <c r="E38" s="23">
        <v>17</v>
      </c>
      <c r="F38" s="23">
        <v>50</v>
      </c>
      <c r="G38" s="23" t="s">
        <v>83</v>
      </c>
      <c r="H38" s="27">
        <f t="shared" si="0"/>
        <v>850</v>
      </c>
    </row>
    <row r="39" ht="15.25" spans="1:8">
      <c r="A39" s="22">
        <v>1035</v>
      </c>
      <c r="B39" s="23" t="s">
        <v>84</v>
      </c>
      <c r="C39" s="23" t="s">
        <v>30</v>
      </c>
      <c r="D39" s="23" t="s">
        <v>28</v>
      </c>
      <c r="E39" s="23">
        <v>19</v>
      </c>
      <c r="F39" s="23">
        <v>10</v>
      </c>
      <c r="G39" s="23" t="s">
        <v>85</v>
      </c>
      <c r="H39" s="27">
        <f t="shared" si="0"/>
        <v>190</v>
      </c>
    </row>
    <row r="40" ht="15.25" spans="1:8">
      <c r="A40" s="22">
        <v>1036</v>
      </c>
      <c r="B40" s="23" t="s">
        <v>86</v>
      </c>
      <c r="C40" s="23" t="s">
        <v>33</v>
      </c>
      <c r="D40" s="23" t="s">
        <v>31</v>
      </c>
      <c r="E40" s="23">
        <v>15</v>
      </c>
      <c r="F40" s="23">
        <v>25</v>
      </c>
      <c r="G40" s="23" t="s">
        <v>87</v>
      </c>
      <c r="H40" s="27">
        <f t="shared" si="0"/>
        <v>375</v>
      </c>
    </row>
    <row r="41" ht="15.25" spans="1:8">
      <c r="A41" s="22">
        <v>1037</v>
      </c>
      <c r="B41" s="23" t="s">
        <v>88</v>
      </c>
      <c r="C41" s="23" t="s">
        <v>24</v>
      </c>
      <c r="D41" s="23" t="s">
        <v>35</v>
      </c>
      <c r="E41" s="23">
        <v>28</v>
      </c>
      <c r="F41" s="23">
        <v>5</v>
      </c>
      <c r="G41" s="23" t="s">
        <v>89</v>
      </c>
      <c r="H41" s="27">
        <f t="shared" si="0"/>
        <v>140</v>
      </c>
    </row>
    <row r="42" ht="15.25" spans="1:8">
      <c r="A42" s="22">
        <v>1038</v>
      </c>
      <c r="B42" s="23" t="s">
        <v>90</v>
      </c>
      <c r="C42" s="23" t="s">
        <v>27</v>
      </c>
      <c r="D42" s="23" t="s">
        <v>38</v>
      </c>
      <c r="E42" s="23">
        <v>24</v>
      </c>
      <c r="F42" s="23">
        <v>8</v>
      </c>
      <c r="G42" s="23" t="s">
        <v>91</v>
      </c>
      <c r="H42" s="27">
        <f t="shared" si="0"/>
        <v>192</v>
      </c>
    </row>
    <row r="43" ht="15.25" spans="1:8">
      <c r="A43" s="22">
        <v>1039</v>
      </c>
      <c r="B43" s="23" t="s">
        <v>92</v>
      </c>
      <c r="C43" s="23" t="s">
        <v>30</v>
      </c>
      <c r="D43" s="23" t="s">
        <v>25</v>
      </c>
      <c r="E43" s="23">
        <v>16</v>
      </c>
      <c r="F43" s="23">
        <v>50</v>
      </c>
      <c r="G43" s="23" t="s">
        <v>93</v>
      </c>
      <c r="H43" s="27">
        <f t="shared" si="0"/>
        <v>800</v>
      </c>
    </row>
    <row r="44" ht="15.25" spans="1:8">
      <c r="A44" s="22">
        <v>1040</v>
      </c>
      <c r="B44" s="23" t="s">
        <v>94</v>
      </c>
      <c r="C44" s="23" t="s">
        <v>33</v>
      </c>
      <c r="D44" s="23" t="s">
        <v>28</v>
      </c>
      <c r="E44" s="23">
        <v>27</v>
      </c>
      <c r="F44" s="23">
        <v>10</v>
      </c>
      <c r="G44" s="23" t="s">
        <v>95</v>
      </c>
      <c r="H44" s="27">
        <f t="shared" si="0"/>
        <v>270</v>
      </c>
    </row>
    <row r="45" ht="15.25" spans="1:8">
      <c r="A45" s="22">
        <v>1041</v>
      </c>
      <c r="B45" s="23" t="s">
        <v>96</v>
      </c>
      <c r="C45" s="23" t="s">
        <v>24</v>
      </c>
      <c r="D45" s="23" t="s">
        <v>31</v>
      </c>
      <c r="E45" s="23">
        <v>21</v>
      </c>
      <c r="F45" s="23">
        <v>25</v>
      </c>
      <c r="G45" s="23" t="s">
        <v>97</v>
      </c>
      <c r="H45" s="27">
        <f t="shared" si="0"/>
        <v>525</v>
      </c>
    </row>
    <row r="46" ht="29.75" spans="1:8">
      <c r="A46" s="22">
        <v>1042</v>
      </c>
      <c r="B46" s="23" t="s">
        <v>98</v>
      </c>
      <c r="C46" s="23" t="s">
        <v>27</v>
      </c>
      <c r="D46" s="23" t="s">
        <v>35</v>
      </c>
      <c r="E46" s="23">
        <v>30</v>
      </c>
      <c r="F46" s="23">
        <v>5</v>
      </c>
      <c r="G46" s="23" t="s">
        <v>99</v>
      </c>
      <c r="H46" s="27">
        <f t="shared" si="0"/>
        <v>150</v>
      </c>
    </row>
    <row r="47" ht="29.75" spans="1:8">
      <c r="A47" s="22">
        <v>1043</v>
      </c>
      <c r="B47" s="23" t="s">
        <v>100</v>
      </c>
      <c r="C47" s="23" t="s">
        <v>30</v>
      </c>
      <c r="D47" s="23" t="s">
        <v>38</v>
      </c>
      <c r="E47" s="23">
        <v>26</v>
      </c>
      <c r="F47" s="23">
        <v>8</v>
      </c>
      <c r="G47" s="26">
        <v>45294</v>
      </c>
      <c r="H47" s="27">
        <f t="shared" si="0"/>
        <v>208</v>
      </c>
    </row>
    <row r="48" ht="15.25" spans="1:8">
      <c r="A48" s="22">
        <v>1044</v>
      </c>
      <c r="B48" s="23" t="s">
        <v>101</v>
      </c>
      <c r="C48" s="23" t="s">
        <v>33</v>
      </c>
      <c r="D48" s="23" t="s">
        <v>25</v>
      </c>
      <c r="E48" s="23">
        <v>14</v>
      </c>
      <c r="F48" s="23">
        <v>50</v>
      </c>
      <c r="G48" s="26">
        <v>45325</v>
      </c>
      <c r="H48" s="27">
        <f t="shared" si="0"/>
        <v>700</v>
      </c>
    </row>
    <row r="49" ht="15.25" spans="1:8">
      <c r="A49" s="22">
        <v>1045</v>
      </c>
      <c r="B49" s="23" t="s">
        <v>102</v>
      </c>
      <c r="C49" s="23" t="s">
        <v>24</v>
      </c>
      <c r="D49" s="23" t="s">
        <v>28</v>
      </c>
      <c r="E49" s="23">
        <v>20</v>
      </c>
      <c r="F49" s="23">
        <v>10</v>
      </c>
      <c r="G49" s="26">
        <v>45354</v>
      </c>
      <c r="H49" s="27">
        <f t="shared" si="0"/>
        <v>200</v>
      </c>
    </row>
    <row r="50" ht="15.25" spans="1:8">
      <c r="A50" s="22">
        <v>1046</v>
      </c>
      <c r="B50" s="23" t="s">
        <v>103</v>
      </c>
      <c r="C50" s="23" t="s">
        <v>27</v>
      </c>
      <c r="D50" s="23" t="s">
        <v>31</v>
      </c>
      <c r="E50" s="23">
        <v>17</v>
      </c>
      <c r="F50" s="23">
        <v>25</v>
      </c>
      <c r="G50" s="26">
        <v>45385</v>
      </c>
      <c r="H50" s="27">
        <f t="shared" si="0"/>
        <v>425</v>
      </c>
    </row>
    <row r="51" ht="15.25" spans="1:8">
      <c r="A51" s="22">
        <v>1047</v>
      </c>
      <c r="B51" s="23" t="s">
        <v>104</v>
      </c>
      <c r="C51" s="23" t="s">
        <v>30</v>
      </c>
      <c r="D51" s="23" t="s">
        <v>35</v>
      </c>
      <c r="E51" s="23">
        <v>19</v>
      </c>
      <c r="F51" s="23">
        <v>5</v>
      </c>
      <c r="G51" s="26">
        <v>45415</v>
      </c>
      <c r="H51" s="27">
        <f t="shared" si="0"/>
        <v>95</v>
      </c>
    </row>
    <row r="52" ht="15.25" spans="1:8">
      <c r="A52" s="22">
        <v>1048</v>
      </c>
      <c r="B52" s="23" t="s">
        <v>105</v>
      </c>
      <c r="C52" s="23" t="s">
        <v>33</v>
      </c>
      <c r="D52" s="23" t="s">
        <v>38</v>
      </c>
      <c r="E52" s="23">
        <v>32</v>
      </c>
      <c r="F52" s="23">
        <v>8</v>
      </c>
      <c r="G52" s="26">
        <v>45446</v>
      </c>
      <c r="H52" s="27">
        <f t="shared" si="0"/>
        <v>256</v>
      </c>
    </row>
    <row r="53" ht="15.25" spans="1:8">
      <c r="A53" s="22">
        <v>1049</v>
      </c>
      <c r="B53" s="23" t="s">
        <v>106</v>
      </c>
      <c r="C53" s="23" t="s">
        <v>24</v>
      </c>
      <c r="D53" s="23" t="s">
        <v>25</v>
      </c>
      <c r="E53" s="23">
        <v>12</v>
      </c>
      <c r="F53" s="23">
        <v>50</v>
      </c>
      <c r="G53" s="26">
        <v>45476</v>
      </c>
      <c r="H53" s="27">
        <f t="shared" si="0"/>
        <v>600</v>
      </c>
    </row>
    <row r="54" ht="29.75" spans="1:8">
      <c r="A54" s="22">
        <v>1050</v>
      </c>
      <c r="B54" s="23" t="s">
        <v>107</v>
      </c>
      <c r="C54" s="23" t="s">
        <v>27</v>
      </c>
      <c r="D54" s="23" t="s">
        <v>28</v>
      </c>
      <c r="E54" s="23">
        <v>25</v>
      </c>
      <c r="F54" s="23">
        <v>10</v>
      </c>
      <c r="G54" s="26">
        <v>45507</v>
      </c>
      <c r="H54" s="27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L14" sqref="L14"/>
    </sheetView>
  </sheetViews>
  <sheetFormatPr defaultColWidth="9" defaultRowHeight="14" outlineLevelCol="7"/>
  <cols>
    <col min="1" max="7" width="11.4272727272727" customWidth="1"/>
    <col min="8" max="8" width="11.2818181818182" customWidth="1"/>
  </cols>
  <sheetData>
    <row r="1" ht="21" spans="1:7">
      <c r="A1" s="4" t="s">
        <v>108</v>
      </c>
      <c r="B1" s="4"/>
      <c r="C1" s="4"/>
      <c r="D1" s="4"/>
      <c r="E1" s="4"/>
      <c r="F1" s="4"/>
      <c r="G1" s="3"/>
    </row>
    <row r="2" ht="14.75"/>
    <row r="3" ht="15.25" spans="1:8">
      <c r="A3" s="19" t="s">
        <v>109</v>
      </c>
      <c r="B3" s="20" t="s">
        <v>110</v>
      </c>
      <c r="C3" s="20" t="s">
        <v>111</v>
      </c>
      <c r="D3" s="20" t="s">
        <v>112</v>
      </c>
      <c r="E3" s="20" t="s">
        <v>113</v>
      </c>
      <c r="F3" s="20" t="s">
        <v>114</v>
      </c>
      <c r="G3" s="20" t="s">
        <v>115</v>
      </c>
      <c r="H3" t="s">
        <v>116</v>
      </c>
    </row>
    <row r="4" ht="29.75" spans="1:8">
      <c r="A4" s="19" t="s">
        <v>15</v>
      </c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s="21" t="s">
        <v>22</v>
      </c>
    </row>
    <row r="5" ht="15.25" spans="1:8">
      <c r="A5" s="22">
        <v>1001</v>
      </c>
      <c r="B5" s="23" t="s">
        <v>23</v>
      </c>
      <c r="C5" s="23" t="s">
        <v>24</v>
      </c>
      <c r="D5" s="23" t="s">
        <v>25</v>
      </c>
      <c r="E5" s="23">
        <v>10</v>
      </c>
      <c r="F5" s="23">
        <v>50</v>
      </c>
      <c r="G5" s="24">
        <v>45413</v>
      </c>
      <c r="H5" s="25">
        <f t="shared" ref="H5:H54" si="0">$E5*$F5</f>
        <v>500</v>
      </c>
    </row>
    <row r="6" ht="15.25" spans="1:8">
      <c r="A6" s="22">
        <v>1002</v>
      </c>
      <c r="B6" s="23" t="s">
        <v>26</v>
      </c>
      <c r="C6" s="23" t="s">
        <v>27</v>
      </c>
      <c r="D6" s="23" t="s">
        <v>28</v>
      </c>
      <c r="E6" s="23">
        <v>20</v>
      </c>
      <c r="F6" s="23">
        <v>10</v>
      </c>
      <c r="G6" s="24">
        <v>45444</v>
      </c>
      <c r="H6" s="25">
        <f t="shared" si="0"/>
        <v>200</v>
      </c>
    </row>
    <row r="7" ht="15.25" spans="1:8">
      <c r="A7" s="22">
        <v>1003</v>
      </c>
      <c r="B7" s="23" t="s">
        <v>29</v>
      </c>
      <c r="C7" s="23" t="s">
        <v>30</v>
      </c>
      <c r="D7" s="23" t="s">
        <v>31</v>
      </c>
      <c r="E7" s="23">
        <v>15</v>
      </c>
      <c r="F7" s="23">
        <v>25</v>
      </c>
      <c r="G7" s="24">
        <v>45474</v>
      </c>
      <c r="H7" s="25">
        <f t="shared" si="0"/>
        <v>375</v>
      </c>
    </row>
    <row r="8" ht="15.25" spans="1:8">
      <c r="A8" s="22">
        <v>1004</v>
      </c>
      <c r="B8" s="23" t="s">
        <v>32</v>
      </c>
      <c r="C8" s="23" t="s">
        <v>33</v>
      </c>
      <c r="D8" s="23" t="s">
        <v>25</v>
      </c>
      <c r="E8" s="23">
        <v>5</v>
      </c>
      <c r="F8" s="23">
        <v>50</v>
      </c>
      <c r="G8" s="24">
        <v>45505</v>
      </c>
      <c r="H8" s="25">
        <f t="shared" si="0"/>
        <v>250</v>
      </c>
    </row>
    <row r="9" ht="15.25" spans="1:8">
      <c r="A9" s="22">
        <v>1005</v>
      </c>
      <c r="B9" s="23" t="s">
        <v>34</v>
      </c>
      <c r="C9" s="23" t="s">
        <v>24</v>
      </c>
      <c r="D9" s="23" t="s">
        <v>35</v>
      </c>
      <c r="E9" s="23">
        <v>30</v>
      </c>
      <c r="F9" s="23">
        <v>5</v>
      </c>
      <c r="G9" s="24">
        <v>45566</v>
      </c>
      <c r="H9" s="25">
        <f t="shared" si="0"/>
        <v>150</v>
      </c>
    </row>
    <row r="10" ht="15.25" spans="1:8">
      <c r="A10" s="22">
        <v>1006</v>
      </c>
      <c r="B10" s="23" t="s">
        <v>36</v>
      </c>
      <c r="C10" s="23" t="s">
        <v>27</v>
      </c>
      <c r="D10" s="23" t="s">
        <v>25</v>
      </c>
      <c r="E10" s="23">
        <v>12</v>
      </c>
      <c r="F10" s="23">
        <v>50</v>
      </c>
      <c r="G10" s="24">
        <v>45597</v>
      </c>
      <c r="H10" s="25">
        <f t="shared" si="0"/>
        <v>600</v>
      </c>
    </row>
    <row r="11" ht="15.25" spans="1:8">
      <c r="A11" s="22">
        <v>1007</v>
      </c>
      <c r="B11" s="23" t="s">
        <v>37</v>
      </c>
      <c r="C11" s="23" t="s">
        <v>30</v>
      </c>
      <c r="D11" s="23" t="s">
        <v>38</v>
      </c>
      <c r="E11" s="23">
        <v>25</v>
      </c>
      <c r="F11" s="23">
        <v>8</v>
      </c>
      <c r="G11" s="24" t="s">
        <v>39</v>
      </c>
      <c r="H11" s="25">
        <f t="shared" si="0"/>
        <v>200</v>
      </c>
    </row>
    <row r="12" ht="15.25" spans="1:8">
      <c r="A12" s="22">
        <v>1008</v>
      </c>
      <c r="B12" s="23" t="s">
        <v>40</v>
      </c>
      <c r="C12" s="23" t="s">
        <v>33</v>
      </c>
      <c r="D12" s="23" t="s">
        <v>28</v>
      </c>
      <c r="E12" s="23">
        <v>18</v>
      </c>
      <c r="F12" s="23">
        <v>10</v>
      </c>
      <c r="G12" s="24" t="s">
        <v>41</v>
      </c>
      <c r="H12" s="25">
        <f t="shared" si="0"/>
        <v>180</v>
      </c>
    </row>
    <row r="13" ht="15.25" spans="1:8">
      <c r="A13" s="22">
        <v>1009</v>
      </c>
      <c r="B13" s="23" t="s">
        <v>42</v>
      </c>
      <c r="C13" s="23" t="s">
        <v>24</v>
      </c>
      <c r="D13" s="23" t="s">
        <v>31</v>
      </c>
      <c r="E13" s="23">
        <v>22</v>
      </c>
      <c r="F13" s="23">
        <v>25</v>
      </c>
      <c r="G13" s="24" t="s">
        <v>43</v>
      </c>
      <c r="H13" s="25">
        <f t="shared" si="0"/>
        <v>550</v>
      </c>
    </row>
    <row r="14" ht="15.25" spans="1:8">
      <c r="A14" s="22">
        <v>1010</v>
      </c>
      <c r="B14" s="23" t="s">
        <v>44</v>
      </c>
      <c r="C14" s="23" t="s">
        <v>27</v>
      </c>
      <c r="D14" s="23" t="s">
        <v>25</v>
      </c>
      <c r="E14" s="23">
        <v>8</v>
      </c>
      <c r="F14" s="23">
        <v>50</v>
      </c>
      <c r="G14" s="24" t="s">
        <v>45</v>
      </c>
      <c r="H14" s="25">
        <f t="shared" si="0"/>
        <v>400</v>
      </c>
    </row>
    <row r="15" ht="15.25" spans="1:8">
      <c r="A15" s="22">
        <v>1011</v>
      </c>
      <c r="B15" s="23" t="s">
        <v>46</v>
      </c>
      <c r="C15" s="23" t="s">
        <v>30</v>
      </c>
      <c r="D15" s="23" t="s">
        <v>35</v>
      </c>
      <c r="E15" s="23">
        <v>40</v>
      </c>
      <c r="F15" s="23">
        <v>5</v>
      </c>
      <c r="G15" s="24" t="s">
        <v>47</v>
      </c>
      <c r="H15" s="25">
        <f t="shared" si="0"/>
        <v>200</v>
      </c>
    </row>
    <row r="16" ht="29.75" spans="1:8">
      <c r="A16" s="22">
        <v>1012</v>
      </c>
      <c r="B16" s="23" t="s">
        <v>48</v>
      </c>
      <c r="C16" s="23" t="s">
        <v>33</v>
      </c>
      <c r="D16" s="23" t="s">
        <v>38</v>
      </c>
      <c r="E16" s="23">
        <v>35</v>
      </c>
      <c r="F16" s="23">
        <v>8</v>
      </c>
      <c r="G16" s="24" t="s">
        <v>49</v>
      </c>
      <c r="H16" s="25">
        <f t="shared" si="0"/>
        <v>280</v>
      </c>
    </row>
    <row r="17" ht="15.25" spans="1:8">
      <c r="A17" s="22">
        <v>1013</v>
      </c>
      <c r="B17" s="23" t="s">
        <v>50</v>
      </c>
      <c r="C17" s="23" t="s">
        <v>24</v>
      </c>
      <c r="D17" s="23" t="s">
        <v>25</v>
      </c>
      <c r="E17" s="23">
        <v>14</v>
      </c>
      <c r="F17" s="23">
        <v>50</v>
      </c>
      <c r="G17" s="24" t="s">
        <v>51</v>
      </c>
      <c r="H17" s="25">
        <f t="shared" si="0"/>
        <v>700</v>
      </c>
    </row>
    <row r="18" ht="29.75" spans="1:8">
      <c r="A18" s="22">
        <v>1014</v>
      </c>
      <c r="B18" s="23" t="s">
        <v>52</v>
      </c>
      <c r="C18" s="23" t="s">
        <v>27</v>
      </c>
      <c r="D18" s="23" t="s">
        <v>28</v>
      </c>
      <c r="E18" s="23">
        <v>28</v>
      </c>
      <c r="F18" s="23">
        <v>10</v>
      </c>
      <c r="G18" s="24" t="s">
        <v>53</v>
      </c>
      <c r="H18" s="25">
        <f t="shared" si="0"/>
        <v>280</v>
      </c>
    </row>
    <row r="19" ht="15.25" spans="1:8">
      <c r="A19" s="22">
        <v>1015</v>
      </c>
      <c r="B19" s="23" t="s">
        <v>54</v>
      </c>
      <c r="C19" s="23" t="s">
        <v>30</v>
      </c>
      <c r="D19" s="23" t="s">
        <v>31</v>
      </c>
      <c r="E19" s="23">
        <v>12</v>
      </c>
      <c r="F19" s="23">
        <v>25</v>
      </c>
      <c r="G19" s="24" t="s">
        <v>55</v>
      </c>
      <c r="H19" s="25">
        <f t="shared" si="0"/>
        <v>300</v>
      </c>
    </row>
    <row r="20" ht="15.25" spans="1:8">
      <c r="A20" s="22">
        <v>1016</v>
      </c>
      <c r="B20" s="23" t="s">
        <v>56</v>
      </c>
      <c r="C20" s="23" t="s">
        <v>33</v>
      </c>
      <c r="D20" s="23" t="s">
        <v>35</v>
      </c>
      <c r="E20" s="23">
        <v>25</v>
      </c>
      <c r="F20" s="23">
        <v>5</v>
      </c>
      <c r="G20" s="24" t="s">
        <v>57</v>
      </c>
      <c r="H20" s="25">
        <f t="shared" si="0"/>
        <v>125</v>
      </c>
    </row>
    <row r="21" ht="29.75" spans="1:8">
      <c r="A21" s="22">
        <v>1017</v>
      </c>
      <c r="B21" s="23" t="s">
        <v>58</v>
      </c>
      <c r="C21" s="23" t="s">
        <v>24</v>
      </c>
      <c r="D21" s="23" t="s">
        <v>38</v>
      </c>
      <c r="E21" s="23">
        <v>20</v>
      </c>
      <c r="F21" s="23">
        <v>8</v>
      </c>
      <c r="G21" s="24" t="s">
        <v>59</v>
      </c>
      <c r="H21" s="25">
        <f t="shared" si="0"/>
        <v>160</v>
      </c>
    </row>
    <row r="22" ht="29.75" spans="1:8">
      <c r="A22" s="22">
        <v>1018</v>
      </c>
      <c r="B22" s="23" t="s">
        <v>60</v>
      </c>
      <c r="C22" s="23" t="s">
        <v>27</v>
      </c>
      <c r="D22" s="23" t="s">
        <v>25</v>
      </c>
      <c r="E22" s="23">
        <v>10</v>
      </c>
      <c r="F22" s="23">
        <v>50</v>
      </c>
      <c r="G22" s="24" t="s">
        <v>61</v>
      </c>
      <c r="H22" s="25">
        <f t="shared" si="0"/>
        <v>500</v>
      </c>
    </row>
    <row r="23" ht="29.75" spans="1:8">
      <c r="A23" s="22">
        <v>1019</v>
      </c>
      <c r="B23" s="23" t="s">
        <v>62</v>
      </c>
      <c r="C23" s="23" t="s">
        <v>30</v>
      </c>
      <c r="D23" s="23" t="s">
        <v>28</v>
      </c>
      <c r="E23" s="23">
        <v>15</v>
      </c>
      <c r="F23" s="23">
        <v>10</v>
      </c>
      <c r="G23" s="24" t="s">
        <v>63</v>
      </c>
      <c r="H23" s="25">
        <f t="shared" si="0"/>
        <v>150</v>
      </c>
    </row>
    <row r="24" ht="15.25" spans="1:8">
      <c r="A24" s="22">
        <v>1020</v>
      </c>
      <c r="B24" s="23" t="s">
        <v>64</v>
      </c>
      <c r="C24" s="23" t="s">
        <v>33</v>
      </c>
      <c r="D24" s="23" t="s">
        <v>31</v>
      </c>
      <c r="E24" s="23">
        <v>18</v>
      </c>
      <c r="F24" s="23">
        <v>25</v>
      </c>
      <c r="G24" s="24">
        <v>45293</v>
      </c>
      <c r="H24" s="25">
        <f t="shared" si="0"/>
        <v>450</v>
      </c>
    </row>
    <row r="25" ht="15.25" spans="1:8">
      <c r="A25" s="22">
        <v>1021</v>
      </c>
      <c r="B25" s="23" t="s">
        <v>65</v>
      </c>
      <c r="C25" s="23" t="s">
        <v>24</v>
      </c>
      <c r="D25" s="23" t="s">
        <v>25</v>
      </c>
      <c r="E25" s="23">
        <v>9</v>
      </c>
      <c r="F25" s="23">
        <v>50</v>
      </c>
      <c r="G25" s="24">
        <v>45324</v>
      </c>
      <c r="H25" s="25">
        <f t="shared" si="0"/>
        <v>450</v>
      </c>
    </row>
    <row r="26" ht="15.25" spans="1:8">
      <c r="A26" s="22">
        <v>1022</v>
      </c>
      <c r="B26" s="23" t="s">
        <v>66</v>
      </c>
      <c r="C26" s="23" t="s">
        <v>27</v>
      </c>
      <c r="D26" s="23" t="s">
        <v>35</v>
      </c>
      <c r="E26" s="23">
        <v>35</v>
      </c>
      <c r="F26" s="23">
        <v>5</v>
      </c>
      <c r="G26" s="24">
        <v>45353</v>
      </c>
      <c r="H26" s="25">
        <f t="shared" si="0"/>
        <v>175</v>
      </c>
    </row>
    <row r="27" ht="15.25" spans="1:8">
      <c r="A27" s="22">
        <v>1023</v>
      </c>
      <c r="B27" s="23" t="s">
        <v>67</v>
      </c>
      <c r="C27" s="23" t="s">
        <v>30</v>
      </c>
      <c r="D27" s="23" t="s">
        <v>38</v>
      </c>
      <c r="E27" s="23">
        <v>30</v>
      </c>
      <c r="F27" s="23">
        <v>8</v>
      </c>
      <c r="G27" s="24">
        <v>45384</v>
      </c>
      <c r="H27" s="25">
        <f t="shared" si="0"/>
        <v>240</v>
      </c>
    </row>
    <row r="28" ht="15.25" spans="1:8">
      <c r="A28" s="22">
        <v>1024</v>
      </c>
      <c r="B28" s="23" t="s">
        <v>68</v>
      </c>
      <c r="C28" s="23" t="s">
        <v>33</v>
      </c>
      <c r="D28" s="23" t="s">
        <v>25</v>
      </c>
      <c r="E28" s="23">
        <v>11</v>
      </c>
      <c r="F28" s="23">
        <v>50</v>
      </c>
      <c r="G28" s="24">
        <v>45445</v>
      </c>
      <c r="H28" s="25">
        <f t="shared" si="0"/>
        <v>550</v>
      </c>
    </row>
    <row r="29" ht="29.75" spans="1:8">
      <c r="A29" s="22">
        <v>1025</v>
      </c>
      <c r="B29" s="23" t="s">
        <v>69</v>
      </c>
      <c r="C29" s="23" t="s">
        <v>24</v>
      </c>
      <c r="D29" s="23" t="s">
        <v>28</v>
      </c>
      <c r="E29" s="23">
        <v>14</v>
      </c>
      <c r="F29" s="23">
        <v>10</v>
      </c>
      <c r="G29" s="24">
        <v>45475</v>
      </c>
      <c r="H29" s="25">
        <f t="shared" si="0"/>
        <v>140</v>
      </c>
    </row>
    <row r="30" ht="29.75" spans="1:8">
      <c r="A30" s="22">
        <v>1026</v>
      </c>
      <c r="B30" s="23" t="s">
        <v>70</v>
      </c>
      <c r="C30" s="23" t="s">
        <v>27</v>
      </c>
      <c r="D30" s="23" t="s">
        <v>31</v>
      </c>
      <c r="E30" s="23">
        <v>16</v>
      </c>
      <c r="F30" s="23">
        <v>25</v>
      </c>
      <c r="G30" s="24">
        <v>45506</v>
      </c>
      <c r="H30" s="25">
        <f t="shared" si="0"/>
        <v>400</v>
      </c>
    </row>
    <row r="31" ht="15.25" spans="1:8">
      <c r="A31" s="22">
        <v>1027</v>
      </c>
      <c r="B31" s="23" t="s">
        <v>71</v>
      </c>
      <c r="C31" s="23" t="s">
        <v>30</v>
      </c>
      <c r="D31" s="23" t="s">
        <v>35</v>
      </c>
      <c r="E31" s="23">
        <v>22</v>
      </c>
      <c r="F31" s="23">
        <v>5</v>
      </c>
      <c r="G31" s="24">
        <v>45537</v>
      </c>
      <c r="H31" s="25">
        <f t="shared" si="0"/>
        <v>110</v>
      </c>
    </row>
    <row r="32" ht="15.25" spans="1:8">
      <c r="A32" s="22">
        <v>1028</v>
      </c>
      <c r="B32" s="23" t="s">
        <v>72</v>
      </c>
      <c r="C32" s="23" t="s">
        <v>33</v>
      </c>
      <c r="D32" s="23" t="s">
        <v>38</v>
      </c>
      <c r="E32" s="23">
        <v>27</v>
      </c>
      <c r="F32" s="23">
        <v>8</v>
      </c>
      <c r="G32" s="24">
        <v>45567</v>
      </c>
      <c r="H32" s="25">
        <f t="shared" si="0"/>
        <v>216</v>
      </c>
    </row>
    <row r="33" ht="29.75" spans="1:8">
      <c r="A33" s="22">
        <v>1029</v>
      </c>
      <c r="B33" s="23" t="s">
        <v>73</v>
      </c>
      <c r="C33" s="23" t="s">
        <v>24</v>
      </c>
      <c r="D33" s="23" t="s">
        <v>25</v>
      </c>
      <c r="E33" s="23">
        <v>13</v>
      </c>
      <c r="F33" s="23">
        <v>50</v>
      </c>
      <c r="G33" s="24">
        <v>45628</v>
      </c>
      <c r="H33" s="25">
        <f t="shared" si="0"/>
        <v>650</v>
      </c>
    </row>
    <row r="34" ht="29.75" spans="1:8">
      <c r="A34" s="22">
        <v>1030</v>
      </c>
      <c r="B34" s="23" t="s">
        <v>74</v>
      </c>
      <c r="C34" s="23" t="s">
        <v>27</v>
      </c>
      <c r="D34" s="23" t="s">
        <v>28</v>
      </c>
      <c r="E34" s="23">
        <v>32</v>
      </c>
      <c r="F34" s="23">
        <v>10</v>
      </c>
      <c r="G34" s="24" t="s">
        <v>75</v>
      </c>
      <c r="H34" s="25">
        <f t="shared" si="0"/>
        <v>320</v>
      </c>
    </row>
    <row r="35" ht="15.25" spans="1:8">
      <c r="A35" s="22">
        <v>1031</v>
      </c>
      <c r="B35" s="23" t="s">
        <v>76</v>
      </c>
      <c r="C35" s="23" t="s">
        <v>30</v>
      </c>
      <c r="D35" s="23" t="s">
        <v>31</v>
      </c>
      <c r="E35" s="23">
        <v>10</v>
      </c>
      <c r="F35" s="23">
        <v>25</v>
      </c>
      <c r="G35" s="24" t="s">
        <v>77</v>
      </c>
      <c r="H35" s="25">
        <f t="shared" si="0"/>
        <v>250</v>
      </c>
    </row>
    <row r="36" ht="15.25" spans="1:8">
      <c r="A36" s="22">
        <v>1032</v>
      </c>
      <c r="B36" s="23" t="s">
        <v>78</v>
      </c>
      <c r="C36" s="23" t="s">
        <v>33</v>
      </c>
      <c r="D36" s="23" t="s">
        <v>35</v>
      </c>
      <c r="E36" s="23">
        <v>18</v>
      </c>
      <c r="F36" s="23">
        <v>5</v>
      </c>
      <c r="G36" s="24" t="s">
        <v>79</v>
      </c>
      <c r="H36" s="25">
        <f t="shared" si="0"/>
        <v>90</v>
      </c>
    </row>
    <row r="37" ht="29.75" spans="1:8">
      <c r="A37" s="22">
        <v>1033</v>
      </c>
      <c r="B37" s="23" t="s">
        <v>80</v>
      </c>
      <c r="C37" s="23" t="s">
        <v>24</v>
      </c>
      <c r="D37" s="23" t="s">
        <v>38</v>
      </c>
      <c r="E37" s="23">
        <v>22</v>
      </c>
      <c r="F37" s="23">
        <v>8</v>
      </c>
      <c r="G37" s="24" t="s">
        <v>81</v>
      </c>
      <c r="H37" s="25">
        <f t="shared" si="0"/>
        <v>176</v>
      </c>
    </row>
    <row r="38" ht="15.25" spans="1:8">
      <c r="A38" s="22">
        <v>1034</v>
      </c>
      <c r="B38" s="23" t="s">
        <v>82</v>
      </c>
      <c r="C38" s="23" t="s">
        <v>27</v>
      </c>
      <c r="D38" s="23" t="s">
        <v>25</v>
      </c>
      <c r="E38" s="23">
        <v>17</v>
      </c>
      <c r="F38" s="23">
        <v>50</v>
      </c>
      <c r="G38" s="24" t="s">
        <v>83</v>
      </c>
      <c r="H38" s="25">
        <f t="shared" si="0"/>
        <v>850</v>
      </c>
    </row>
    <row r="39" ht="15.25" spans="1:8">
      <c r="A39" s="22">
        <v>1035</v>
      </c>
      <c r="B39" s="23" t="s">
        <v>84</v>
      </c>
      <c r="C39" s="23" t="s">
        <v>30</v>
      </c>
      <c r="D39" s="23" t="s">
        <v>28</v>
      </c>
      <c r="E39" s="23">
        <v>19</v>
      </c>
      <c r="F39" s="23">
        <v>10</v>
      </c>
      <c r="G39" s="24" t="s">
        <v>85</v>
      </c>
      <c r="H39" s="25">
        <f t="shared" si="0"/>
        <v>190</v>
      </c>
    </row>
    <row r="40" ht="15.25" spans="1:8">
      <c r="A40" s="22">
        <v>1036</v>
      </c>
      <c r="B40" s="23" t="s">
        <v>86</v>
      </c>
      <c r="C40" s="23" t="s">
        <v>33</v>
      </c>
      <c r="D40" s="23" t="s">
        <v>31</v>
      </c>
      <c r="E40" s="23">
        <v>15</v>
      </c>
      <c r="F40" s="23">
        <v>25</v>
      </c>
      <c r="G40" s="24" t="s">
        <v>87</v>
      </c>
      <c r="H40" s="25">
        <f t="shared" si="0"/>
        <v>375</v>
      </c>
    </row>
    <row r="41" ht="15.25" spans="1:8">
      <c r="A41" s="22">
        <v>1037</v>
      </c>
      <c r="B41" s="23" t="s">
        <v>88</v>
      </c>
      <c r="C41" s="23" t="s">
        <v>24</v>
      </c>
      <c r="D41" s="23" t="s">
        <v>35</v>
      </c>
      <c r="E41" s="23">
        <v>28</v>
      </c>
      <c r="F41" s="23">
        <v>5</v>
      </c>
      <c r="G41" s="24" t="s">
        <v>89</v>
      </c>
      <c r="H41" s="25">
        <f t="shared" si="0"/>
        <v>140</v>
      </c>
    </row>
    <row r="42" ht="15.25" spans="1:8">
      <c r="A42" s="22">
        <v>1038</v>
      </c>
      <c r="B42" s="23" t="s">
        <v>90</v>
      </c>
      <c r="C42" s="23" t="s">
        <v>27</v>
      </c>
      <c r="D42" s="23" t="s">
        <v>38</v>
      </c>
      <c r="E42" s="23">
        <v>24</v>
      </c>
      <c r="F42" s="23">
        <v>8</v>
      </c>
      <c r="G42" s="24" t="s">
        <v>91</v>
      </c>
      <c r="H42" s="25">
        <f t="shared" si="0"/>
        <v>192</v>
      </c>
    </row>
    <row r="43" ht="15.25" spans="1:8">
      <c r="A43" s="22">
        <v>1039</v>
      </c>
      <c r="B43" s="23" t="s">
        <v>92</v>
      </c>
      <c r="C43" s="23" t="s">
        <v>30</v>
      </c>
      <c r="D43" s="23" t="s">
        <v>25</v>
      </c>
      <c r="E43" s="23">
        <v>16</v>
      </c>
      <c r="F43" s="23">
        <v>50</v>
      </c>
      <c r="G43" s="24" t="s">
        <v>93</v>
      </c>
      <c r="H43" s="25">
        <f t="shared" si="0"/>
        <v>800</v>
      </c>
    </row>
    <row r="44" ht="15.25" spans="1:8">
      <c r="A44" s="22">
        <v>1040</v>
      </c>
      <c r="B44" s="23" t="s">
        <v>94</v>
      </c>
      <c r="C44" s="23" t="s">
        <v>33</v>
      </c>
      <c r="D44" s="23" t="s">
        <v>28</v>
      </c>
      <c r="E44" s="23">
        <v>27</v>
      </c>
      <c r="F44" s="23">
        <v>10</v>
      </c>
      <c r="G44" s="24" t="s">
        <v>95</v>
      </c>
      <c r="H44" s="25">
        <f t="shared" si="0"/>
        <v>270</v>
      </c>
    </row>
    <row r="45" ht="15.25" spans="1:8">
      <c r="A45" s="22">
        <v>1041</v>
      </c>
      <c r="B45" s="23" t="s">
        <v>96</v>
      </c>
      <c r="C45" s="23" t="s">
        <v>24</v>
      </c>
      <c r="D45" s="23" t="s">
        <v>31</v>
      </c>
      <c r="E45" s="23">
        <v>21</v>
      </c>
      <c r="F45" s="23">
        <v>25</v>
      </c>
      <c r="G45" s="24" t="s">
        <v>97</v>
      </c>
      <c r="H45" s="25">
        <f t="shared" si="0"/>
        <v>525</v>
      </c>
    </row>
    <row r="46" ht="29.75" spans="1:8">
      <c r="A46" s="22">
        <v>1042</v>
      </c>
      <c r="B46" s="23" t="s">
        <v>98</v>
      </c>
      <c r="C46" s="23" t="s">
        <v>27</v>
      </c>
      <c r="D46" s="23" t="s">
        <v>35</v>
      </c>
      <c r="E46" s="23">
        <v>30</v>
      </c>
      <c r="F46" s="23">
        <v>5</v>
      </c>
      <c r="G46" s="24" t="s">
        <v>99</v>
      </c>
      <c r="H46" s="25">
        <f t="shared" si="0"/>
        <v>150</v>
      </c>
    </row>
    <row r="47" ht="29.75" spans="1:8">
      <c r="A47" s="22">
        <v>1043</v>
      </c>
      <c r="B47" s="23" t="s">
        <v>100</v>
      </c>
      <c r="C47" s="23" t="s">
        <v>30</v>
      </c>
      <c r="D47" s="23" t="s">
        <v>38</v>
      </c>
      <c r="E47" s="23">
        <v>26</v>
      </c>
      <c r="F47" s="23">
        <v>8</v>
      </c>
      <c r="G47" s="24">
        <v>45294</v>
      </c>
      <c r="H47" s="25">
        <f t="shared" si="0"/>
        <v>208</v>
      </c>
    </row>
    <row r="48" ht="15.25" spans="1:8">
      <c r="A48" s="22">
        <v>1044</v>
      </c>
      <c r="B48" s="23" t="s">
        <v>101</v>
      </c>
      <c r="C48" s="23" t="s">
        <v>33</v>
      </c>
      <c r="D48" s="23" t="s">
        <v>25</v>
      </c>
      <c r="E48" s="23">
        <v>14</v>
      </c>
      <c r="F48" s="23">
        <v>50</v>
      </c>
      <c r="G48" s="24">
        <v>45325</v>
      </c>
      <c r="H48" s="25">
        <f t="shared" si="0"/>
        <v>700</v>
      </c>
    </row>
    <row r="49" ht="15.25" spans="1:8">
      <c r="A49" s="22">
        <v>1045</v>
      </c>
      <c r="B49" s="23" t="s">
        <v>102</v>
      </c>
      <c r="C49" s="23" t="s">
        <v>24</v>
      </c>
      <c r="D49" s="23" t="s">
        <v>28</v>
      </c>
      <c r="E49" s="23">
        <v>20</v>
      </c>
      <c r="F49" s="23">
        <v>10</v>
      </c>
      <c r="G49" s="24">
        <v>45354</v>
      </c>
      <c r="H49" s="25">
        <f t="shared" si="0"/>
        <v>200</v>
      </c>
    </row>
    <row r="50" ht="15.25" spans="1:8">
      <c r="A50" s="22">
        <v>1046</v>
      </c>
      <c r="B50" s="23" t="s">
        <v>103</v>
      </c>
      <c r="C50" s="23" t="s">
        <v>27</v>
      </c>
      <c r="D50" s="23" t="s">
        <v>31</v>
      </c>
      <c r="E50" s="23">
        <v>17</v>
      </c>
      <c r="F50" s="23">
        <v>25</v>
      </c>
      <c r="G50" s="24">
        <v>45385</v>
      </c>
      <c r="H50" s="25">
        <f t="shared" si="0"/>
        <v>425</v>
      </c>
    </row>
    <row r="51" ht="15.25" spans="1:8">
      <c r="A51" s="22">
        <v>1047</v>
      </c>
      <c r="B51" s="23" t="s">
        <v>104</v>
      </c>
      <c r="C51" s="23" t="s">
        <v>30</v>
      </c>
      <c r="D51" s="23" t="s">
        <v>35</v>
      </c>
      <c r="E51" s="23">
        <v>19</v>
      </c>
      <c r="F51" s="23">
        <v>5</v>
      </c>
      <c r="G51" s="24">
        <v>45415</v>
      </c>
      <c r="H51" s="25">
        <f t="shared" si="0"/>
        <v>95</v>
      </c>
    </row>
    <row r="52" ht="15.25" spans="1:8">
      <c r="A52" s="22">
        <v>1048</v>
      </c>
      <c r="B52" s="23" t="s">
        <v>105</v>
      </c>
      <c r="C52" s="23" t="s">
        <v>33</v>
      </c>
      <c r="D52" s="23" t="s">
        <v>38</v>
      </c>
      <c r="E52" s="23">
        <v>32</v>
      </c>
      <c r="F52" s="23">
        <v>8</v>
      </c>
      <c r="G52" s="24">
        <v>45446</v>
      </c>
      <c r="H52" s="25">
        <f t="shared" si="0"/>
        <v>256</v>
      </c>
    </row>
    <row r="53" ht="15.25" spans="1:8">
      <c r="A53" s="22">
        <v>1049</v>
      </c>
      <c r="B53" s="23" t="s">
        <v>106</v>
      </c>
      <c r="C53" s="23" t="s">
        <v>24</v>
      </c>
      <c r="D53" s="23" t="s">
        <v>25</v>
      </c>
      <c r="E53" s="23">
        <v>12</v>
      </c>
      <c r="F53" s="23">
        <v>50</v>
      </c>
      <c r="G53" s="24">
        <v>45476</v>
      </c>
      <c r="H53" s="25">
        <f t="shared" si="0"/>
        <v>600</v>
      </c>
    </row>
    <row r="54" ht="29.75" spans="1:8">
      <c r="A54" s="22">
        <v>1050</v>
      </c>
      <c r="B54" s="23" t="s">
        <v>107</v>
      </c>
      <c r="C54" s="23" t="s">
        <v>27</v>
      </c>
      <c r="D54" s="23" t="s">
        <v>28</v>
      </c>
      <c r="E54" s="23">
        <v>25</v>
      </c>
      <c r="F54" s="23">
        <v>10</v>
      </c>
      <c r="G54" s="24">
        <v>45507</v>
      </c>
      <c r="H54" s="25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J11" sqref="J11"/>
    </sheetView>
  </sheetViews>
  <sheetFormatPr defaultColWidth="9" defaultRowHeight="14"/>
  <cols>
    <col min="1" max="1" width="17" customWidth="1"/>
    <col min="2" max="7" width="11.4272727272727" customWidth="1"/>
    <col min="8" max="8" width="11.2818181818182" customWidth="1"/>
    <col min="10" max="10" width="36.5727272727273" customWidth="1"/>
    <col min="11" max="11" width="10.1363636363636" customWidth="1"/>
    <col min="12" max="12" width="12.8545454545455" customWidth="1"/>
  </cols>
  <sheetData>
    <row r="1" ht="21" spans="1:9">
      <c r="A1" s="4" t="s">
        <v>117</v>
      </c>
      <c r="B1" s="4"/>
      <c r="C1" s="4"/>
      <c r="D1" s="4"/>
      <c r="E1" s="5"/>
      <c r="F1" s="5"/>
      <c r="G1" s="5"/>
      <c r="H1" s="3"/>
      <c r="I1" s="3"/>
    </row>
    <row r="2" ht="14.75"/>
    <row r="3" ht="15.25" spans="1:8">
      <c r="A3" s="6" t="s">
        <v>109</v>
      </c>
      <c r="B3" s="6" t="s">
        <v>110</v>
      </c>
      <c r="C3" s="6" t="s">
        <v>111</v>
      </c>
      <c r="D3" s="6" t="s">
        <v>112</v>
      </c>
      <c r="E3" s="6" t="s">
        <v>113</v>
      </c>
      <c r="F3" s="6" t="s">
        <v>114</v>
      </c>
      <c r="G3" s="6" t="s">
        <v>115</v>
      </c>
      <c r="H3" s="7" t="s">
        <v>116</v>
      </c>
    </row>
    <row r="4" ht="29.75" spans="1:8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9" t="s">
        <v>22</v>
      </c>
    </row>
    <row r="5" ht="15.25" spans="1:10">
      <c r="A5" s="10">
        <v>1001</v>
      </c>
      <c r="B5" s="10" t="s">
        <v>23</v>
      </c>
      <c r="C5" s="10" t="s">
        <v>24</v>
      </c>
      <c r="D5" s="10" t="s">
        <v>25</v>
      </c>
      <c r="E5" s="10">
        <v>10</v>
      </c>
      <c r="F5" s="10">
        <v>50</v>
      </c>
      <c r="G5" s="11">
        <v>45413</v>
      </c>
      <c r="H5" s="12">
        <f t="shared" ref="H5:H54" si="0">$E5*$F5</f>
        <v>500</v>
      </c>
      <c r="J5" s="18">
        <f>SUMIFS($H$5:$H$54,D5:D54,"Notebook",C5:C54,"North")</f>
        <v>2900</v>
      </c>
    </row>
    <row r="6" ht="15.25" spans="1:8">
      <c r="A6" s="13">
        <v>1002</v>
      </c>
      <c r="B6" s="13" t="s">
        <v>26</v>
      </c>
      <c r="C6" s="13" t="s">
        <v>27</v>
      </c>
      <c r="D6" s="13" t="s">
        <v>28</v>
      </c>
      <c r="E6" s="13">
        <v>20</v>
      </c>
      <c r="F6" s="13">
        <v>10</v>
      </c>
      <c r="G6" s="14">
        <v>45444</v>
      </c>
      <c r="H6" s="12">
        <f t="shared" si="0"/>
        <v>200</v>
      </c>
    </row>
    <row r="7" ht="15.25" spans="1:8">
      <c r="A7" s="10">
        <v>1003</v>
      </c>
      <c r="B7" s="10" t="s">
        <v>29</v>
      </c>
      <c r="C7" s="10" t="s">
        <v>30</v>
      </c>
      <c r="D7" s="10" t="s">
        <v>31</v>
      </c>
      <c r="E7" s="10">
        <v>15</v>
      </c>
      <c r="F7" s="10">
        <v>25</v>
      </c>
      <c r="G7" s="11">
        <v>45474</v>
      </c>
      <c r="H7" s="12">
        <f t="shared" si="0"/>
        <v>375</v>
      </c>
    </row>
    <row r="8" ht="15.25" spans="1:8">
      <c r="A8" s="13">
        <v>1004</v>
      </c>
      <c r="B8" s="13" t="s">
        <v>32</v>
      </c>
      <c r="C8" s="13" t="s">
        <v>33</v>
      </c>
      <c r="D8" s="13" t="s">
        <v>25</v>
      </c>
      <c r="E8" s="13">
        <v>5</v>
      </c>
      <c r="F8" s="13">
        <v>50</v>
      </c>
      <c r="G8" s="14">
        <v>45505</v>
      </c>
      <c r="H8" s="12">
        <f t="shared" si="0"/>
        <v>250</v>
      </c>
    </row>
    <row r="9" ht="15.25" spans="1:8">
      <c r="A9" s="10">
        <v>1005</v>
      </c>
      <c r="B9" s="10" t="s">
        <v>34</v>
      </c>
      <c r="C9" s="10" t="s">
        <v>24</v>
      </c>
      <c r="D9" s="10" t="s">
        <v>35</v>
      </c>
      <c r="E9" s="10">
        <v>30</v>
      </c>
      <c r="F9" s="10">
        <v>5</v>
      </c>
      <c r="G9" s="11">
        <v>45566</v>
      </c>
      <c r="H9" s="12">
        <f t="shared" si="0"/>
        <v>150</v>
      </c>
    </row>
    <row r="10" ht="15.25" spans="1:8">
      <c r="A10" s="13">
        <v>1006</v>
      </c>
      <c r="B10" s="13" t="s">
        <v>36</v>
      </c>
      <c r="C10" s="13" t="s">
        <v>27</v>
      </c>
      <c r="D10" s="13" t="s">
        <v>25</v>
      </c>
      <c r="E10" s="13">
        <v>12</v>
      </c>
      <c r="F10" s="13">
        <v>50</v>
      </c>
      <c r="G10" s="14">
        <v>45597</v>
      </c>
      <c r="H10" s="12">
        <f t="shared" si="0"/>
        <v>600</v>
      </c>
    </row>
    <row r="11" ht="15.25" spans="1:8">
      <c r="A11" s="10">
        <v>1007</v>
      </c>
      <c r="B11" s="10" t="s">
        <v>37</v>
      </c>
      <c r="C11" s="10" t="s">
        <v>30</v>
      </c>
      <c r="D11" s="10" t="s">
        <v>38</v>
      </c>
      <c r="E11" s="10">
        <v>25</v>
      </c>
      <c r="F11" s="10">
        <v>8</v>
      </c>
      <c r="G11" s="10" t="s">
        <v>39</v>
      </c>
      <c r="H11" s="12">
        <f t="shared" si="0"/>
        <v>200</v>
      </c>
    </row>
    <row r="12" ht="15.25" spans="1:8">
      <c r="A12" s="13">
        <v>1008</v>
      </c>
      <c r="B12" s="13" t="s">
        <v>40</v>
      </c>
      <c r="C12" s="13" t="s">
        <v>33</v>
      </c>
      <c r="D12" s="13" t="s">
        <v>28</v>
      </c>
      <c r="E12" s="13">
        <v>18</v>
      </c>
      <c r="F12" s="13">
        <v>10</v>
      </c>
      <c r="G12" s="13" t="s">
        <v>41</v>
      </c>
      <c r="H12" s="12">
        <f t="shared" si="0"/>
        <v>180</v>
      </c>
    </row>
    <row r="13" ht="15.25" spans="1:8">
      <c r="A13" s="10">
        <v>1009</v>
      </c>
      <c r="B13" s="10" t="s">
        <v>42</v>
      </c>
      <c r="C13" s="10" t="s">
        <v>24</v>
      </c>
      <c r="D13" s="10" t="s">
        <v>31</v>
      </c>
      <c r="E13" s="10">
        <v>22</v>
      </c>
      <c r="F13" s="10">
        <v>25</v>
      </c>
      <c r="G13" s="10" t="s">
        <v>43</v>
      </c>
      <c r="H13" s="12">
        <f t="shared" si="0"/>
        <v>550</v>
      </c>
    </row>
    <row r="14" ht="15.25" spans="1:8">
      <c r="A14" s="13">
        <v>1010</v>
      </c>
      <c r="B14" s="13" t="s">
        <v>44</v>
      </c>
      <c r="C14" s="13" t="s">
        <v>27</v>
      </c>
      <c r="D14" s="13" t="s">
        <v>25</v>
      </c>
      <c r="E14" s="13">
        <v>8</v>
      </c>
      <c r="F14" s="13">
        <v>50</v>
      </c>
      <c r="G14" s="13" t="s">
        <v>45</v>
      </c>
      <c r="H14" s="12">
        <f t="shared" si="0"/>
        <v>400</v>
      </c>
    </row>
    <row r="15" ht="15.25" spans="1:8">
      <c r="A15" s="10">
        <v>1011</v>
      </c>
      <c r="B15" s="10" t="s">
        <v>46</v>
      </c>
      <c r="C15" s="10" t="s">
        <v>30</v>
      </c>
      <c r="D15" s="10" t="s">
        <v>35</v>
      </c>
      <c r="E15" s="10">
        <v>40</v>
      </c>
      <c r="F15" s="10">
        <v>5</v>
      </c>
      <c r="G15" s="10" t="s">
        <v>47</v>
      </c>
      <c r="H15" s="12">
        <f t="shared" si="0"/>
        <v>200</v>
      </c>
    </row>
    <row r="16" ht="29.75" spans="1:8">
      <c r="A16" s="13">
        <v>1012</v>
      </c>
      <c r="B16" s="13" t="s">
        <v>48</v>
      </c>
      <c r="C16" s="13" t="s">
        <v>33</v>
      </c>
      <c r="D16" s="13" t="s">
        <v>38</v>
      </c>
      <c r="E16" s="13">
        <v>35</v>
      </c>
      <c r="F16" s="13">
        <v>8</v>
      </c>
      <c r="G16" s="13" t="s">
        <v>49</v>
      </c>
      <c r="H16" s="12">
        <f t="shared" si="0"/>
        <v>280</v>
      </c>
    </row>
    <row r="17" ht="15.25" spans="1:8">
      <c r="A17" s="10">
        <v>1013</v>
      </c>
      <c r="B17" s="10" t="s">
        <v>50</v>
      </c>
      <c r="C17" s="10" t="s">
        <v>24</v>
      </c>
      <c r="D17" s="10" t="s">
        <v>25</v>
      </c>
      <c r="E17" s="10">
        <v>14</v>
      </c>
      <c r="F17" s="10">
        <v>50</v>
      </c>
      <c r="G17" s="10" t="s">
        <v>51</v>
      </c>
      <c r="H17" s="12">
        <f t="shared" si="0"/>
        <v>700</v>
      </c>
    </row>
    <row r="18" ht="29.75" spans="1:8">
      <c r="A18" s="13">
        <v>1014</v>
      </c>
      <c r="B18" s="13" t="s">
        <v>52</v>
      </c>
      <c r="C18" s="13" t="s">
        <v>27</v>
      </c>
      <c r="D18" s="13" t="s">
        <v>28</v>
      </c>
      <c r="E18" s="13">
        <v>28</v>
      </c>
      <c r="F18" s="13">
        <v>10</v>
      </c>
      <c r="G18" s="13" t="s">
        <v>53</v>
      </c>
      <c r="H18" s="12">
        <f t="shared" si="0"/>
        <v>280</v>
      </c>
    </row>
    <row r="19" ht="15.25" spans="1:8">
      <c r="A19" s="10">
        <v>1015</v>
      </c>
      <c r="B19" s="10" t="s">
        <v>54</v>
      </c>
      <c r="C19" s="10" t="s">
        <v>30</v>
      </c>
      <c r="D19" s="10" t="s">
        <v>31</v>
      </c>
      <c r="E19" s="10">
        <v>12</v>
      </c>
      <c r="F19" s="10">
        <v>25</v>
      </c>
      <c r="G19" s="10" t="s">
        <v>55</v>
      </c>
      <c r="H19" s="12">
        <f t="shared" si="0"/>
        <v>300</v>
      </c>
    </row>
    <row r="20" ht="15.25" spans="1:8">
      <c r="A20" s="13">
        <v>1016</v>
      </c>
      <c r="B20" s="13" t="s">
        <v>56</v>
      </c>
      <c r="C20" s="13" t="s">
        <v>33</v>
      </c>
      <c r="D20" s="13" t="s">
        <v>35</v>
      </c>
      <c r="E20" s="13">
        <v>25</v>
      </c>
      <c r="F20" s="13">
        <v>5</v>
      </c>
      <c r="G20" s="13" t="s">
        <v>57</v>
      </c>
      <c r="H20" s="12">
        <f t="shared" si="0"/>
        <v>125</v>
      </c>
    </row>
    <row r="21" ht="29.75" spans="1:8">
      <c r="A21" s="10">
        <v>1017</v>
      </c>
      <c r="B21" s="10" t="s">
        <v>58</v>
      </c>
      <c r="C21" s="10" t="s">
        <v>24</v>
      </c>
      <c r="D21" s="10" t="s">
        <v>38</v>
      </c>
      <c r="E21" s="10">
        <v>20</v>
      </c>
      <c r="F21" s="10">
        <v>8</v>
      </c>
      <c r="G21" s="10" t="s">
        <v>59</v>
      </c>
      <c r="H21" s="12">
        <f t="shared" si="0"/>
        <v>160</v>
      </c>
    </row>
    <row r="22" ht="29.75" spans="1:8">
      <c r="A22" s="13">
        <v>1018</v>
      </c>
      <c r="B22" s="13" t="s">
        <v>60</v>
      </c>
      <c r="C22" s="13" t="s">
        <v>27</v>
      </c>
      <c r="D22" s="13" t="s">
        <v>25</v>
      </c>
      <c r="E22" s="13">
        <v>10</v>
      </c>
      <c r="F22" s="13">
        <v>50</v>
      </c>
      <c r="G22" s="13" t="s">
        <v>61</v>
      </c>
      <c r="H22" s="12">
        <f t="shared" si="0"/>
        <v>500</v>
      </c>
    </row>
    <row r="23" ht="29.75" spans="1:8">
      <c r="A23" s="10">
        <v>1019</v>
      </c>
      <c r="B23" s="10" t="s">
        <v>62</v>
      </c>
      <c r="C23" s="10" t="s">
        <v>30</v>
      </c>
      <c r="D23" s="10" t="s">
        <v>28</v>
      </c>
      <c r="E23" s="10">
        <v>15</v>
      </c>
      <c r="F23" s="10">
        <v>10</v>
      </c>
      <c r="G23" s="10" t="s">
        <v>63</v>
      </c>
      <c r="H23" s="12">
        <f t="shared" si="0"/>
        <v>150</v>
      </c>
    </row>
    <row r="24" ht="15.25" spans="1:8">
      <c r="A24" s="13">
        <v>1020</v>
      </c>
      <c r="B24" s="13" t="s">
        <v>64</v>
      </c>
      <c r="C24" s="13" t="s">
        <v>33</v>
      </c>
      <c r="D24" s="13" t="s">
        <v>31</v>
      </c>
      <c r="E24" s="13">
        <v>18</v>
      </c>
      <c r="F24" s="13">
        <v>25</v>
      </c>
      <c r="G24" s="14">
        <v>45293</v>
      </c>
      <c r="H24" s="12">
        <f t="shared" si="0"/>
        <v>450</v>
      </c>
    </row>
    <row r="25" ht="15.25" spans="1:8">
      <c r="A25" s="10">
        <v>1021</v>
      </c>
      <c r="B25" s="10" t="s">
        <v>65</v>
      </c>
      <c r="C25" s="10" t="s">
        <v>24</v>
      </c>
      <c r="D25" s="10" t="s">
        <v>25</v>
      </c>
      <c r="E25" s="10">
        <v>9</v>
      </c>
      <c r="F25" s="10">
        <v>50</v>
      </c>
      <c r="G25" s="11">
        <v>45324</v>
      </c>
      <c r="H25" s="12">
        <f t="shared" si="0"/>
        <v>450</v>
      </c>
    </row>
    <row r="26" ht="15.25" spans="1:8">
      <c r="A26" s="13">
        <v>1022</v>
      </c>
      <c r="B26" s="13" t="s">
        <v>66</v>
      </c>
      <c r="C26" s="13" t="s">
        <v>27</v>
      </c>
      <c r="D26" s="13" t="s">
        <v>35</v>
      </c>
      <c r="E26" s="13">
        <v>35</v>
      </c>
      <c r="F26" s="13">
        <v>5</v>
      </c>
      <c r="G26" s="14">
        <v>45353</v>
      </c>
      <c r="H26" s="12">
        <f t="shared" si="0"/>
        <v>175</v>
      </c>
    </row>
    <row r="27" ht="15.25" spans="1:8">
      <c r="A27" s="10">
        <v>1023</v>
      </c>
      <c r="B27" s="10" t="s">
        <v>67</v>
      </c>
      <c r="C27" s="10" t="s">
        <v>30</v>
      </c>
      <c r="D27" s="10" t="s">
        <v>38</v>
      </c>
      <c r="E27" s="10">
        <v>30</v>
      </c>
      <c r="F27" s="10">
        <v>8</v>
      </c>
      <c r="G27" s="11">
        <v>45384</v>
      </c>
      <c r="H27" s="12">
        <f t="shared" si="0"/>
        <v>240</v>
      </c>
    </row>
    <row r="28" ht="15.25" spans="1:8">
      <c r="A28" s="13">
        <v>1024</v>
      </c>
      <c r="B28" s="13" t="s">
        <v>68</v>
      </c>
      <c r="C28" s="13" t="s">
        <v>33</v>
      </c>
      <c r="D28" s="13" t="s">
        <v>25</v>
      </c>
      <c r="E28" s="13">
        <v>11</v>
      </c>
      <c r="F28" s="13">
        <v>50</v>
      </c>
      <c r="G28" s="14">
        <v>45445</v>
      </c>
      <c r="H28" s="12">
        <f t="shared" si="0"/>
        <v>550</v>
      </c>
    </row>
    <row r="29" ht="29.75" spans="1:8">
      <c r="A29" s="10">
        <v>1025</v>
      </c>
      <c r="B29" s="10" t="s">
        <v>69</v>
      </c>
      <c r="C29" s="10" t="s">
        <v>24</v>
      </c>
      <c r="D29" s="10" t="s">
        <v>28</v>
      </c>
      <c r="E29" s="10">
        <v>14</v>
      </c>
      <c r="F29" s="10">
        <v>10</v>
      </c>
      <c r="G29" s="11">
        <v>45475</v>
      </c>
      <c r="H29" s="12">
        <f t="shared" si="0"/>
        <v>140</v>
      </c>
    </row>
    <row r="30" ht="29.75" spans="1:8">
      <c r="A30" s="13">
        <v>1026</v>
      </c>
      <c r="B30" s="13" t="s">
        <v>70</v>
      </c>
      <c r="C30" s="13" t="s">
        <v>27</v>
      </c>
      <c r="D30" s="13" t="s">
        <v>31</v>
      </c>
      <c r="E30" s="13">
        <v>16</v>
      </c>
      <c r="F30" s="13">
        <v>25</v>
      </c>
      <c r="G30" s="14">
        <v>45506</v>
      </c>
      <c r="H30" s="12">
        <f t="shared" si="0"/>
        <v>400</v>
      </c>
    </row>
    <row r="31" ht="15.25" spans="1:8">
      <c r="A31" s="10">
        <v>1027</v>
      </c>
      <c r="B31" s="10" t="s">
        <v>71</v>
      </c>
      <c r="C31" s="10" t="s">
        <v>30</v>
      </c>
      <c r="D31" s="10" t="s">
        <v>35</v>
      </c>
      <c r="E31" s="10">
        <v>22</v>
      </c>
      <c r="F31" s="10">
        <v>5</v>
      </c>
      <c r="G31" s="11">
        <v>45537</v>
      </c>
      <c r="H31" s="12">
        <f t="shared" si="0"/>
        <v>110</v>
      </c>
    </row>
    <row r="32" ht="15.25" spans="1:8">
      <c r="A32" s="13">
        <v>1028</v>
      </c>
      <c r="B32" s="13" t="s">
        <v>72</v>
      </c>
      <c r="C32" s="13" t="s">
        <v>33</v>
      </c>
      <c r="D32" s="13" t="s">
        <v>38</v>
      </c>
      <c r="E32" s="13">
        <v>27</v>
      </c>
      <c r="F32" s="13">
        <v>8</v>
      </c>
      <c r="G32" s="14">
        <v>45567</v>
      </c>
      <c r="H32" s="12">
        <f t="shared" si="0"/>
        <v>216</v>
      </c>
    </row>
    <row r="33" ht="29.75" spans="1:8">
      <c r="A33" s="10">
        <v>1029</v>
      </c>
      <c r="B33" s="10" t="s">
        <v>73</v>
      </c>
      <c r="C33" s="10" t="s">
        <v>24</v>
      </c>
      <c r="D33" s="10" t="s">
        <v>25</v>
      </c>
      <c r="E33" s="10">
        <v>13</v>
      </c>
      <c r="F33" s="10">
        <v>50</v>
      </c>
      <c r="G33" s="11">
        <v>45628</v>
      </c>
      <c r="H33" s="12">
        <f t="shared" si="0"/>
        <v>650</v>
      </c>
    </row>
    <row r="34" ht="29.75" spans="1:8">
      <c r="A34" s="13">
        <v>1030</v>
      </c>
      <c r="B34" s="13" t="s">
        <v>74</v>
      </c>
      <c r="C34" s="13" t="s">
        <v>27</v>
      </c>
      <c r="D34" s="13" t="s">
        <v>28</v>
      </c>
      <c r="E34" s="13">
        <v>32</v>
      </c>
      <c r="F34" s="13">
        <v>10</v>
      </c>
      <c r="G34" s="13" t="s">
        <v>75</v>
      </c>
      <c r="H34" s="12">
        <f t="shared" si="0"/>
        <v>320</v>
      </c>
    </row>
    <row r="35" ht="15.25" spans="1:8">
      <c r="A35" s="10">
        <v>1031</v>
      </c>
      <c r="B35" s="10" t="s">
        <v>76</v>
      </c>
      <c r="C35" s="10" t="s">
        <v>30</v>
      </c>
      <c r="D35" s="10" t="s">
        <v>31</v>
      </c>
      <c r="E35" s="10">
        <v>10</v>
      </c>
      <c r="F35" s="10">
        <v>25</v>
      </c>
      <c r="G35" s="10" t="s">
        <v>77</v>
      </c>
      <c r="H35" s="12">
        <f t="shared" si="0"/>
        <v>250</v>
      </c>
    </row>
    <row r="36" ht="15.25" spans="1:8">
      <c r="A36" s="13">
        <v>1032</v>
      </c>
      <c r="B36" s="13" t="s">
        <v>78</v>
      </c>
      <c r="C36" s="13" t="s">
        <v>33</v>
      </c>
      <c r="D36" s="13" t="s">
        <v>35</v>
      </c>
      <c r="E36" s="13">
        <v>18</v>
      </c>
      <c r="F36" s="13">
        <v>5</v>
      </c>
      <c r="G36" s="13" t="s">
        <v>79</v>
      </c>
      <c r="H36" s="12">
        <f t="shared" si="0"/>
        <v>90</v>
      </c>
    </row>
    <row r="37" ht="29.75" spans="1:8">
      <c r="A37" s="10">
        <v>1033</v>
      </c>
      <c r="B37" s="10" t="s">
        <v>80</v>
      </c>
      <c r="C37" s="10" t="s">
        <v>24</v>
      </c>
      <c r="D37" s="10" t="s">
        <v>38</v>
      </c>
      <c r="E37" s="10">
        <v>22</v>
      </c>
      <c r="F37" s="10">
        <v>8</v>
      </c>
      <c r="G37" s="10" t="s">
        <v>81</v>
      </c>
      <c r="H37" s="12">
        <f t="shared" si="0"/>
        <v>176</v>
      </c>
    </row>
    <row r="38" ht="15.25" spans="1:8">
      <c r="A38" s="13">
        <v>1034</v>
      </c>
      <c r="B38" s="13" t="s">
        <v>82</v>
      </c>
      <c r="C38" s="13" t="s">
        <v>27</v>
      </c>
      <c r="D38" s="13" t="s">
        <v>25</v>
      </c>
      <c r="E38" s="13">
        <v>17</v>
      </c>
      <c r="F38" s="13">
        <v>50</v>
      </c>
      <c r="G38" s="13" t="s">
        <v>83</v>
      </c>
      <c r="H38" s="12">
        <f t="shared" si="0"/>
        <v>850</v>
      </c>
    </row>
    <row r="39" ht="15.25" spans="1:8">
      <c r="A39" s="10">
        <v>1035</v>
      </c>
      <c r="B39" s="10" t="s">
        <v>84</v>
      </c>
      <c r="C39" s="10" t="s">
        <v>30</v>
      </c>
      <c r="D39" s="10" t="s">
        <v>28</v>
      </c>
      <c r="E39" s="10">
        <v>19</v>
      </c>
      <c r="F39" s="10">
        <v>10</v>
      </c>
      <c r="G39" s="10" t="s">
        <v>85</v>
      </c>
      <c r="H39" s="12">
        <f t="shared" si="0"/>
        <v>190</v>
      </c>
    </row>
    <row r="40" ht="15.25" spans="1:8">
      <c r="A40" s="13">
        <v>1036</v>
      </c>
      <c r="B40" s="13" t="s">
        <v>86</v>
      </c>
      <c r="C40" s="13" t="s">
        <v>33</v>
      </c>
      <c r="D40" s="13" t="s">
        <v>31</v>
      </c>
      <c r="E40" s="13">
        <v>15</v>
      </c>
      <c r="F40" s="13">
        <v>25</v>
      </c>
      <c r="G40" s="13" t="s">
        <v>87</v>
      </c>
      <c r="H40" s="12">
        <f t="shared" si="0"/>
        <v>375</v>
      </c>
    </row>
    <row r="41" ht="15.25" spans="1:8">
      <c r="A41" s="10">
        <v>1037</v>
      </c>
      <c r="B41" s="10" t="s">
        <v>88</v>
      </c>
      <c r="C41" s="10" t="s">
        <v>24</v>
      </c>
      <c r="D41" s="10" t="s">
        <v>35</v>
      </c>
      <c r="E41" s="10">
        <v>28</v>
      </c>
      <c r="F41" s="10">
        <v>5</v>
      </c>
      <c r="G41" s="10" t="s">
        <v>89</v>
      </c>
      <c r="H41" s="12">
        <f t="shared" si="0"/>
        <v>140</v>
      </c>
    </row>
    <row r="42" ht="15.25" spans="1:8">
      <c r="A42" s="13">
        <v>1038</v>
      </c>
      <c r="B42" s="13" t="s">
        <v>90</v>
      </c>
      <c r="C42" s="13" t="s">
        <v>27</v>
      </c>
      <c r="D42" s="13" t="s">
        <v>38</v>
      </c>
      <c r="E42" s="13">
        <v>24</v>
      </c>
      <c r="F42" s="13">
        <v>8</v>
      </c>
      <c r="G42" s="13" t="s">
        <v>91</v>
      </c>
      <c r="H42" s="12">
        <f t="shared" si="0"/>
        <v>192</v>
      </c>
    </row>
    <row r="43" ht="15.25" spans="1:8">
      <c r="A43" s="10">
        <v>1039</v>
      </c>
      <c r="B43" s="10" t="s">
        <v>92</v>
      </c>
      <c r="C43" s="10" t="s">
        <v>30</v>
      </c>
      <c r="D43" s="10" t="s">
        <v>25</v>
      </c>
      <c r="E43" s="10">
        <v>16</v>
      </c>
      <c r="F43" s="10">
        <v>50</v>
      </c>
      <c r="G43" s="10" t="s">
        <v>93</v>
      </c>
      <c r="H43" s="12">
        <f t="shared" si="0"/>
        <v>800</v>
      </c>
    </row>
    <row r="44" ht="15.25" spans="1:8">
      <c r="A44" s="13">
        <v>1040</v>
      </c>
      <c r="B44" s="13" t="s">
        <v>94</v>
      </c>
      <c r="C44" s="13" t="s">
        <v>33</v>
      </c>
      <c r="D44" s="13" t="s">
        <v>28</v>
      </c>
      <c r="E44" s="13">
        <v>27</v>
      </c>
      <c r="F44" s="13">
        <v>10</v>
      </c>
      <c r="G44" s="13" t="s">
        <v>95</v>
      </c>
      <c r="H44" s="12">
        <f t="shared" si="0"/>
        <v>270</v>
      </c>
    </row>
    <row r="45" ht="15.25" spans="1:8">
      <c r="A45" s="10">
        <v>1041</v>
      </c>
      <c r="B45" s="10" t="s">
        <v>96</v>
      </c>
      <c r="C45" s="10" t="s">
        <v>24</v>
      </c>
      <c r="D45" s="10" t="s">
        <v>31</v>
      </c>
      <c r="E45" s="10">
        <v>21</v>
      </c>
      <c r="F45" s="10">
        <v>25</v>
      </c>
      <c r="G45" s="10" t="s">
        <v>97</v>
      </c>
      <c r="H45" s="12">
        <f t="shared" si="0"/>
        <v>525</v>
      </c>
    </row>
    <row r="46" ht="29.75" spans="1:8">
      <c r="A46" s="13">
        <v>1042</v>
      </c>
      <c r="B46" s="13" t="s">
        <v>98</v>
      </c>
      <c r="C46" s="13" t="s">
        <v>27</v>
      </c>
      <c r="D46" s="13" t="s">
        <v>35</v>
      </c>
      <c r="E46" s="13">
        <v>30</v>
      </c>
      <c r="F46" s="13">
        <v>5</v>
      </c>
      <c r="G46" s="13" t="s">
        <v>99</v>
      </c>
      <c r="H46" s="12">
        <f t="shared" si="0"/>
        <v>150</v>
      </c>
    </row>
    <row r="47" ht="29.75" spans="1:8">
      <c r="A47" s="10">
        <v>1043</v>
      </c>
      <c r="B47" s="10" t="s">
        <v>100</v>
      </c>
      <c r="C47" s="10" t="s">
        <v>30</v>
      </c>
      <c r="D47" s="10" t="s">
        <v>38</v>
      </c>
      <c r="E47" s="10">
        <v>26</v>
      </c>
      <c r="F47" s="10">
        <v>8</v>
      </c>
      <c r="G47" s="11">
        <v>45294</v>
      </c>
      <c r="H47" s="12">
        <f t="shared" si="0"/>
        <v>208</v>
      </c>
    </row>
    <row r="48" ht="15.25" spans="1:8">
      <c r="A48" s="13">
        <v>1044</v>
      </c>
      <c r="B48" s="13" t="s">
        <v>101</v>
      </c>
      <c r="C48" s="13" t="s">
        <v>33</v>
      </c>
      <c r="D48" s="13" t="s">
        <v>25</v>
      </c>
      <c r="E48" s="13">
        <v>14</v>
      </c>
      <c r="F48" s="13">
        <v>50</v>
      </c>
      <c r="G48" s="14">
        <v>45325</v>
      </c>
      <c r="H48" s="12">
        <f t="shared" si="0"/>
        <v>700</v>
      </c>
    </row>
    <row r="49" ht="15.25" spans="1:8">
      <c r="A49" s="10">
        <v>1045</v>
      </c>
      <c r="B49" s="10" t="s">
        <v>102</v>
      </c>
      <c r="C49" s="10" t="s">
        <v>24</v>
      </c>
      <c r="D49" s="10" t="s">
        <v>28</v>
      </c>
      <c r="E49" s="10">
        <v>20</v>
      </c>
      <c r="F49" s="10">
        <v>10</v>
      </c>
      <c r="G49" s="11">
        <v>45354</v>
      </c>
      <c r="H49" s="12">
        <f t="shared" si="0"/>
        <v>200</v>
      </c>
    </row>
    <row r="50" ht="15.25" spans="1:8">
      <c r="A50" s="13">
        <v>1046</v>
      </c>
      <c r="B50" s="13" t="s">
        <v>103</v>
      </c>
      <c r="C50" s="13" t="s">
        <v>27</v>
      </c>
      <c r="D50" s="13" t="s">
        <v>31</v>
      </c>
      <c r="E50" s="13">
        <v>17</v>
      </c>
      <c r="F50" s="13">
        <v>25</v>
      </c>
      <c r="G50" s="14">
        <v>45385</v>
      </c>
      <c r="H50" s="12">
        <f t="shared" si="0"/>
        <v>425</v>
      </c>
    </row>
    <row r="51" ht="15.25" spans="1:8">
      <c r="A51" s="10">
        <v>1047</v>
      </c>
      <c r="B51" s="10" t="s">
        <v>104</v>
      </c>
      <c r="C51" s="10" t="s">
        <v>30</v>
      </c>
      <c r="D51" s="10" t="s">
        <v>35</v>
      </c>
      <c r="E51" s="10">
        <v>19</v>
      </c>
      <c r="F51" s="10">
        <v>5</v>
      </c>
      <c r="G51" s="11">
        <v>45415</v>
      </c>
      <c r="H51" s="12">
        <f t="shared" si="0"/>
        <v>95</v>
      </c>
    </row>
    <row r="52" ht="15.25" spans="1:8">
      <c r="A52" s="13">
        <v>1048</v>
      </c>
      <c r="B52" s="13" t="s">
        <v>105</v>
      </c>
      <c r="C52" s="13" t="s">
        <v>33</v>
      </c>
      <c r="D52" s="13" t="s">
        <v>38</v>
      </c>
      <c r="E52" s="13">
        <v>32</v>
      </c>
      <c r="F52" s="13">
        <v>8</v>
      </c>
      <c r="G52" s="14">
        <v>45446</v>
      </c>
      <c r="H52" s="12">
        <f t="shared" si="0"/>
        <v>256</v>
      </c>
    </row>
    <row r="53" ht="15.25" spans="1:8">
      <c r="A53" s="10">
        <v>1049</v>
      </c>
      <c r="B53" s="10" t="s">
        <v>106</v>
      </c>
      <c r="C53" s="10" t="s">
        <v>24</v>
      </c>
      <c r="D53" s="10" t="s">
        <v>25</v>
      </c>
      <c r="E53" s="10">
        <v>12</v>
      </c>
      <c r="F53" s="10">
        <v>50</v>
      </c>
      <c r="G53" s="11">
        <v>45476</v>
      </c>
      <c r="H53" s="12">
        <f t="shared" si="0"/>
        <v>600</v>
      </c>
    </row>
    <row r="54" ht="29.75" spans="1:8">
      <c r="A54" s="15">
        <v>1050</v>
      </c>
      <c r="B54" s="15" t="s">
        <v>107</v>
      </c>
      <c r="C54" s="15" t="s">
        <v>27</v>
      </c>
      <c r="D54" s="15" t="s">
        <v>28</v>
      </c>
      <c r="E54" s="15">
        <v>25</v>
      </c>
      <c r="F54" s="15">
        <v>10</v>
      </c>
      <c r="G54" s="16">
        <v>45507</v>
      </c>
      <c r="H54" s="17">
        <f t="shared" si="0"/>
        <v>250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1" sqref="C1"/>
    </sheetView>
  </sheetViews>
  <sheetFormatPr defaultColWidth="9" defaultRowHeight="14" outlineLevelRow="7" outlineLevelCol="6"/>
  <cols>
    <col min="1" max="1" width="20.4272727272727" customWidth="1"/>
    <col min="2" max="2" width="12.8545454545455" customWidth="1"/>
    <col min="3" max="3" width="36.5727272727273" customWidth="1"/>
  </cols>
  <sheetData>
    <row r="1" ht="21" spans="1:7">
      <c r="A1" s="4" t="s">
        <v>118</v>
      </c>
      <c r="B1" s="4"/>
      <c r="C1" s="4"/>
      <c r="D1" s="4"/>
      <c r="E1" s="4"/>
      <c r="F1" s="4"/>
      <c r="G1" s="3"/>
    </row>
    <row r="3" spans="1:2">
      <c r="A3" t="s">
        <v>18</v>
      </c>
      <c r="B3" t="s">
        <v>119</v>
      </c>
    </row>
    <row r="4" spans="1:2">
      <c r="A4" t="s">
        <v>25</v>
      </c>
      <c r="B4">
        <v>7550</v>
      </c>
    </row>
    <row r="5" spans="1:2">
      <c r="A5" t="s">
        <v>28</v>
      </c>
      <c r="B5">
        <v>2180</v>
      </c>
    </row>
    <row r="6" spans="1:2">
      <c r="A6" t="s">
        <v>31</v>
      </c>
      <c r="B6">
        <v>3650</v>
      </c>
    </row>
    <row r="7" spans="1:2">
      <c r="A7" t="s">
        <v>38</v>
      </c>
      <c r="B7">
        <v>1928</v>
      </c>
    </row>
    <row r="8" spans="1:2">
      <c r="A8" t="s">
        <v>35</v>
      </c>
      <c r="B8">
        <v>1235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workbookViewId="0">
      <selection activeCell="K4" sqref="K4"/>
    </sheetView>
  </sheetViews>
  <sheetFormatPr defaultColWidth="9" defaultRowHeight="14" outlineLevelRow="1" outlineLevelCol="3"/>
  <cols>
    <col min="1" max="1" width="36.5727272727273" customWidth="1"/>
  </cols>
  <sheetData>
    <row r="2" ht="21" spans="1:4">
      <c r="A2" s="1" t="s">
        <v>120</v>
      </c>
      <c r="B2" s="2"/>
      <c r="C2" s="3"/>
      <c r="D2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2025-12-13T17:42:00Z</dcterms:created>
  <dcterms:modified xsi:type="dcterms:W3CDTF">2025-12-15T10:35:28Z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7D66A665A94745F9BDC9B25F3947F884_13</vt:lpwstr>
  </property>
  <property fmtid="{D5CDD505-2E9C-101B-9397-08002B2CF9AE}" pid="3" name="KSOProductBuildVer">
    <vt:lpwstr>1033-12.2.0.23155</vt:lpwstr>
  </property>
</Properties>
</file>